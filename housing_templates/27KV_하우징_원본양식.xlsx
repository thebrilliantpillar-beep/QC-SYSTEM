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iden\Desktop\성적서 프로젝트\"/>
    </mc:Choice>
  </mc:AlternateContent>
  <xr:revisionPtr revIDLastSave="0" documentId="13_ncr:1_{5E7EF4DE-1F49-4477-883D-783EC725402C}" xr6:coauthVersionLast="47" xr6:coauthVersionMax="47" xr10:uidLastSave="{00000000-0000-0000-0000-000000000000}"/>
  <bookViews>
    <workbookView xWindow="-103" yWindow="-103" windowWidth="22149" windowHeight="13200" tabRatio="500" xr2:uid="{00000000-000D-0000-FFFF-FFFF00000000}"/>
  </bookViews>
  <sheets>
    <sheet name="갑지" sheetId="1" r:id="rId1"/>
    <sheet name="을지_1" sheetId="5" r:id="rId2"/>
    <sheet name="을지_2" sheetId="4" r:id="rId3"/>
  </sheets>
  <definedNames>
    <definedName name="_xlnm.Print_Area" localSheetId="0">갑지!$A$1:$Y$53</definedName>
    <definedName name="_xlnm.Print_Area" localSheetId="1">을지_1!$A$1:$Y$53</definedName>
    <definedName name="_xlnm.Print_Area" localSheetId="2">을지_2!$A$1:$Y$53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4" l="1"/>
  <c r="J13" i="5"/>
  <c r="J13" i="1"/>
  <c r="A14" i="1" a="1"/>
  <c r="A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<sst xmlns="http://schemas.openxmlformats.org/spreadsheetml/2006/main" count="406" uniqueCount="65">
  <si>
    <t>기능</t>
  </si>
  <si>
    <t>치수</t>
  </si>
  <si>
    <t>제품 번호</t>
  </si>
  <si>
    <t>멀티 
테스터</t>
  </si>
  <si>
    <t>AC 전압 
시험기</t>
  </si>
  <si>
    <t>CT측정 
계측기</t>
  </si>
  <si>
    <t>버니어 
캘리퍼스</t>
  </si>
  <si>
    <t>검사 방법 (계측기)</t>
  </si>
  <si>
    <t>차기 검교정 예정일</t>
  </si>
  <si>
    <t>동작검사</t>
  </si>
  <si>
    <t>검사조건</t>
  </si>
  <si>
    <t>Check</t>
  </si>
  <si>
    <t>검사항목</t>
  </si>
  <si>
    <t>검사방식</t>
  </si>
  <si>
    <t>육안</t>
  </si>
  <si>
    <t>판정</t>
  </si>
  <si>
    <t>외관</t>
  </si>
  <si>
    <t>총 측정 시간 :</t>
  </si>
  <si>
    <t>AQL</t>
  </si>
  <si>
    <t>VD쇼트</t>
  </si>
  <si>
    <t>동작 지그</t>
  </si>
  <si>
    <t>개당 측정 시간 :</t>
  </si>
  <si>
    <t>주회로 
저항
측정기</t>
  </si>
  <si>
    <t>비고:</t>
  </si>
  <si>
    <t>부분 방전
시험</t>
  </si>
  <si>
    <t>CT극성</t>
  </si>
  <si>
    <t>CT저항값
(3.7~4.5)</t>
  </si>
  <si>
    <t>뇌충격 검사기</t>
  </si>
  <si>
    <t>절연 저항계</t>
  </si>
  <si>
    <t>멀티
테스터</t>
  </si>
  <si>
    <t>검사 결과 : ㅁ합격 　　　ㅁ불합격 　　　ㅁ특채</t>
  </si>
  <si>
    <t>전수</t>
    <phoneticPr fontId="4" type="noConversion"/>
  </si>
  <si>
    <t>ROD SIDE</t>
    <phoneticPr fontId="4" type="noConversion"/>
  </si>
  <si>
    <t>CT SIDE</t>
    <phoneticPr fontId="4" type="noConversion"/>
  </si>
  <si>
    <t xml:space="preserve">고저항값
(39.6~40.4) </t>
    <phoneticPr fontId="4" type="noConversion"/>
  </si>
  <si>
    <t>순번</t>
    <phoneticPr fontId="4" type="noConversion"/>
  </si>
  <si>
    <t>M2_100_1_R</t>
    <phoneticPr fontId="4" type="noConversion"/>
  </si>
  <si>
    <t>납품 업체 : ACE</t>
    <phoneticPr fontId="4" type="noConversion"/>
  </si>
  <si>
    <t>기능</t>
    <phoneticPr fontId="4" type="noConversion"/>
  </si>
  <si>
    <t>기본검사</t>
    <phoneticPr fontId="4" type="noConversion"/>
  </si>
  <si>
    <t>충격 / PD</t>
    <phoneticPr fontId="4" type="noConversion"/>
  </si>
  <si>
    <t>품명 및 규격 : 27KV 하우징 (CKMR3515)</t>
    <phoneticPr fontId="4" type="noConversion"/>
  </si>
  <si>
    <t xml:space="preserve">자재번호 : 604013P000 </t>
    <phoneticPr fontId="4" type="noConversion"/>
  </si>
  <si>
    <t>검사 날짜:  2026년  9월  8일</t>
    <phoneticPr fontId="4" type="noConversion"/>
  </si>
  <si>
    <t>내전압
(60kV)</t>
    <phoneticPr fontId="4" type="noConversion"/>
  </si>
  <si>
    <t>-</t>
    <phoneticPr fontId="4" type="noConversion"/>
  </si>
  <si>
    <t xml:space="preserve">입고 날짜 : </t>
    <phoneticPr fontId="4" type="noConversion"/>
  </si>
  <si>
    <t>Φ190±1.2</t>
    <phoneticPr fontId="4" type="noConversion"/>
  </si>
  <si>
    <t>Φ604.4±2.0</t>
    <phoneticPr fontId="4" type="noConversion"/>
  </si>
  <si>
    <t>Φ176 ±1.2</t>
    <phoneticPr fontId="4" type="noConversion"/>
  </si>
  <si>
    <t>Φ32±0.8</t>
    <phoneticPr fontId="4" type="noConversion"/>
  </si>
  <si>
    <r>
      <rPr>
        <b/>
        <sz val="36"/>
        <color rgb="FF000000"/>
        <rFont val="Noto Sans KR"/>
        <family val="3"/>
        <charset val="129"/>
      </rPr>
      <t>샤든 그룹</t>
    </r>
    <r>
      <rPr>
        <b/>
        <sz val="28"/>
        <color rgb="FF000000"/>
        <rFont val="Noto Sans KR"/>
        <family val="3"/>
        <charset val="129"/>
      </rPr>
      <t xml:space="preserve">
</t>
    </r>
    <r>
      <rPr>
        <b/>
        <sz val="16"/>
        <color rgb="FF000000"/>
        <rFont val="Noto Sans KR"/>
        <family val="3"/>
        <charset val="129"/>
      </rPr>
      <t>입고 자재 검사 성적서 (갑)</t>
    </r>
    <phoneticPr fontId="4" type="noConversion"/>
  </si>
  <si>
    <t>110kg 
가압후 
주회로 
저항
(≥80μΩ)</t>
    <phoneticPr fontId="4" type="noConversion"/>
  </si>
  <si>
    <r>
      <t xml:space="preserve">검사  수량 : </t>
    </r>
    <r>
      <rPr>
        <b/>
        <sz val="14"/>
        <color rgb="FF000000"/>
        <rFont val="Noto Sans KR"/>
        <family val="3"/>
        <charset val="129"/>
      </rPr>
      <t>전수</t>
    </r>
    <phoneticPr fontId="4" type="noConversion"/>
  </si>
  <si>
    <r>
      <rPr>
        <b/>
        <sz val="36"/>
        <color rgb="FF000000"/>
        <rFont val="Noto Sans KR"/>
        <family val="3"/>
        <charset val="129"/>
      </rPr>
      <t>샤든 그룹</t>
    </r>
    <r>
      <rPr>
        <b/>
        <sz val="28"/>
        <color rgb="FF000000"/>
        <rFont val="Noto Sans KR"/>
        <family val="3"/>
        <charset val="129"/>
      </rPr>
      <t xml:space="preserve">
</t>
    </r>
    <r>
      <rPr>
        <b/>
        <sz val="16"/>
        <color rgb="FF000000"/>
        <rFont val="Noto Sans KR"/>
        <family val="3"/>
        <charset val="129"/>
      </rPr>
      <t>입고 자재 검사 성적서 (을 II)</t>
    </r>
    <phoneticPr fontId="4" type="noConversion"/>
  </si>
  <si>
    <r>
      <t>충격파내전압
150kV/1.2X50</t>
    </r>
    <r>
      <rPr>
        <sz val="12"/>
        <color rgb="FF000000"/>
        <rFont val="Calibri"/>
        <family val="3"/>
        <charset val="161"/>
      </rPr>
      <t>μ</t>
    </r>
    <r>
      <rPr>
        <sz val="12"/>
        <color rgb="FF000000"/>
        <rFont val="Noto Sans KR"/>
        <family val="3"/>
        <charset val="129"/>
      </rPr>
      <t>S/각3회
파두장±3%(0.84~1.56)
 파미장±20%
(40~60)
정극성+/ 부극성-</t>
    </r>
    <phoneticPr fontId="4" type="noConversion"/>
  </si>
  <si>
    <t>로트번호：ACE-CK-2026061603 / ACE-CK-2026070202 /
                      ACE-CK-2026070204</t>
    <phoneticPr fontId="4" type="noConversion"/>
  </si>
  <si>
    <t>CT저항값
(3.7~4.5)</t>
    <phoneticPr fontId="4" type="noConversion"/>
  </si>
  <si>
    <r>
      <t>충격파내전압
150kV/1.2X50</t>
    </r>
    <r>
      <rPr>
        <sz val="12"/>
        <color rgb="FF000000"/>
        <rFont val="Calibri"/>
        <family val="3"/>
        <charset val="161"/>
      </rPr>
      <t>μ</t>
    </r>
    <r>
      <rPr>
        <sz val="12"/>
        <color rgb="FF000000"/>
        <rFont val="Noto Sans KR"/>
        <family val="3"/>
        <charset val="129"/>
      </rPr>
      <t>S/각3회
파두장±3%(0.84~1.56)
 파미장±20%(40~60)
정극성+/ 부극성-</t>
    </r>
    <phoneticPr fontId="4" type="noConversion"/>
  </si>
  <si>
    <t>E-26</t>
    <phoneticPr fontId="4" type="noConversion"/>
  </si>
  <si>
    <t xml:space="preserve">검토 :　　현강희　　　　　　　　　　　　　　　　　　　　　　　　　　　　　　　　　　　　　　　　　　　　　　　　　　　　　　　　　　　　　　　　　　　　　　　　　　　　　　　　　　　　　       </t>
    <phoneticPr fontId="4" type="noConversion"/>
  </si>
  <si>
    <t>검사 방법 (계측기)</t>
    <phoneticPr fontId="4" type="noConversion"/>
  </si>
  <si>
    <t>차기 검교정 예정일</t>
    <phoneticPr fontId="4" type="noConversion"/>
  </si>
  <si>
    <t xml:space="preserve">검사자 : </t>
    <phoneticPr fontId="4" type="noConversion"/>
  </si>
  <si>
    <t>Partial
Discharge
 17.2kv 인가(10Pc 이하)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</si>
</sst>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yy&quot;/&quot;mm&quot;/&quot;dd;@"/>
    <numFmt numFmtId="178" formatCode="&quot;입고 수량 : &quot;\ #"/>
    <numFmt numFmtId="179" formatCode="&quot;검사  수량 :  &quot;#\ &quot;EA   (AQL :4)&quot;"/>
  </numFmts>
  <fonts count="24">
    <font>
      <sz val="11"/>
      <color rgb="FF000000"/>
      <name val="맑은 고딕"/>
    </font>
    <font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6"/>
      <color rgb="FF000000"/>
      <name val="맑은 고딕"/>
      <family val="3"/>
      <charset val="129"/>
    </font>
    <font>
      <sz val="11"/>
      <color rgb="FF000000"/>
      <name val="sans"/>
      <family val="2"/>
    </font>
    <font>
      <b/>
      <sz val="11"/>
      <color rgb="FF000000"/>
      <name val="sans"/>
      <family val="2"/>
    </font>
    <font>
      <sz val="14"/>
      <color rgb="FF000000"/>
      <name val="sans"/>
      <family val="2"/>
    </font>
    <font>
      <sz val="12"/>
      <color rgb="FF000000"/>
      <name val="sans"/>
      <family val="2"/>
    </font>
    <font>
      <sz val="16"/>
      <color rgb="FF000000"/>
      <name val="맑은 고딕"/>
      <family val="3"/>
      <charset val="129"/>
    </font>
    <font>
      <b/>
      <sz val="28"/>
      <color rgb="FF000000"/>
      <name val="Noto Sans KR"/>
      <family val="3"/>
      <charset val="129"/>
    </font>
    <font>
      <b/>
      <sz val="36"/>
      <color rgb="FF000000"/>
      <name val="Noto Sans KR"/>
      <family val="3"/>
      <charset val="129"/>
    </font>
    <font>
      <b/>
      <sz val="16"/>
      <color rgb="FF000000"/>
      <name val="Noto Sans KR"/>
      <family val="3"/>
      <charset val="129"/>
    </font>
    <font>
      <sz val="28"/>
      <color rgb="FF000000"/>
      <name val="Noto Sans KR"/>
      <family val="3"/>
      <charset val="129"/>
    </font>
    <font>
      <b/>
      <sz val="18"/>
      <color rgb="FF000000"/>
      <name val="Noto Sans KR"/>
      <family val="3"/>
      <charset val="129"/>
    </font>
    <font>
      <b/>
      <sz val="14"/>
      <color rgb="FF000000"/>
      <name val="Noto Sans KR"/>
      <family val="3"/>
      <charset val="129"/>
    </font>
    <font>
      <b/>
      <sz val="12"/>
      <color rgb="FF000000"/>
      <name val="Noto Sans KR"/>
      <family val="3"/>
      <charset val="129"/>
    </font>
    <font>
      <b/>
      <sz val="20"/>
      <color rgb="FF000000"/>
      <name val="Noto Sans KR"/>
      <family val="3"/>
      <charset val="129"/>
    </font>
    <font>
      <sz val="11"/>
      <color rgb="FF000000"/>
      <name val="Noto Sans KR"/>
      <family val="3"/>
      <charset val="129"/>
    </font>
    <font>
      <sz val="14"/>
      <color rgb="FF000000"/>
      <name val="Noto Sans KR"/>
      <family val="3"/>
      <charset val="129"/>
    </font>
    <font>
      <b/>
      <sz val="11"/>
      <color rgb="FF000000"/>
      <name val="Noto Sans KR"/>
      <family val="3"/>
      <charset val="129"/>
    </font>
    <font>
      <sz val="12"/>
      <color rgb="FF000000"/>
      <name val="Noto Sans KR"/>
      <family val="3"/>
      <charset val="129"/>
    </font>
    <font>
      <sz val="12"/>
      <color rgb="FF000000"/>
      <name val="Calibri"/>
      <family val="3"/>
      <charset val="16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/>
      <top/>
      <bottom/>
      <diagonal style="thin">
        <color auto="1"/>
      </diagonal>
    </border>
    <border diagonalDown="1">
      <left/>
      <right/>
      <top/>
      <bottom/>
      <diagonal style="thin">
        <color auto="1"/>
      </diagonal>
    </border>
    <border diagonalDown="1">
      <left/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7" fillId="0" borderId="1" xfId="0" applyFont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6" fontId="19" fillId="0" borderId="1" xfId="0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177" fontId="17" fillId="0" borderId="1" xfId="0" applyNumberFormat="1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13" fillId="0" borderId="0" xfId="0" applyFont="1">
      <alignment vertical="center"/>
    </xf>
    <xf numFmtId="0" fontId="5" fillId="0" borderId="0" xfId="0" applyFont="1">
      <alignment vertical="center"/>
    </xf>
    <xf numFmtId="0" fontId="10" fillId="0" borderId="0" xfId="0" applyFo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177" fontId="17" fillId="0" borderId="5" xfId="0" applyNumberFormat="1" applyFont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18" fillId="4" borderId="14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8" fillId="4" borderId="15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4" borderId="16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0" fontId="13" fillId="0" borderId="10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 wrapText="1"/>
    </xf>
    <xf numFmtId="178" fontId="16" fillId="0" borderId="5" xfId="0" applyNumberFormat="1" applyFont="1" applyBorder="1" applyAlignment="1">
      <alignment horizontal="left" vertical="center"/>
    </xf>
    <xf numFmtId="178" fontId="16" fillId="0" borderId="13" xfId="0" applyNumberFormat="1" applyFont="1" applyBorder="1" applyAlignment="1">
      <alignment horizontal="left" vertical="center"/>
    </xf>
    <xf numFmtId="178" fontId="16" fillId="0" borderId="6" xfId="0" applyNumberFormat="1" applyFont="1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177" fontId="17" fillId="0" borderId="5" xfId="0" applyNumberFormat="1" applyFont="1" applyBorder="1" applyAlignment="1">
      <alignment horizontal="center" vertical="center"/>
    </xf>
    <xf numFmtId="177" fontId="17" fillId="0" borderId="6" xfId="0" applyNumberFormat="1" applyFont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179" fontId="16" fillId="3" borderId="1" xfId="0" applyNumberFormat="1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14" fontId="16" fillId="0" borderId="13" xfId="0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6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</cellXfs>
  <cellStyles count="1">
    <cellStyle name="표준" xfId="0" builtinId="0"/>
  </cellStyles>
  <dxfs count="3">
    <dxf>
      <font>
        <u val="double"/>
        <color rgb="FFC00000"/>
      </font>
      <fill>
        <patternFill patternType="none">
          <bgColor auto="1"/>
        </patternFill>
      </fill>
    </dxf>
    <dxf>
      <font>
        <u val="double"/>
        <color rgb="FFC00000"/>
      </font>
      <fill>
        <patternFill patternType="none">
          <bgColor auto="1"/>
        </patternFill>
      </fill>
    </dxf>
    <dxf>
      <font>
        <u val="double"/>
        <color rgb="FFC0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5</xdr:row>
      <xdr:rowOff>0</xdr:rowOff>
    </xdr:from>
    <xdr:to>
      <xdr:col>30</xdr:col>
      <xdr:colOff>304800</xdr:colOff>
      <xdr:row>5</xdr:row>
      <xdr:rowOff>304800</xdr:rowOff>
    </xdr:to>
    <xdr:sp macro="" textlink="">
      <xdr:nvSpPr>
        <xdr:cNvPr id="2049" name="AutoShape 1" descr="샤르돈 그룹 글로벌 로고">
          <a:extLst>
            <a:ext uri="{FF2B5EF4-FFF2-40B4-BE49-F238E27FC236}">
              <a16:creationId xmlns:a16="http://schemas.microsoft.com/office/drawing/2014/main" id="{77694677-4267-72FE-67FF-CD9320F1E0DC}"/>
            </a:ext>
          </a:extLst>
        </xdr:cNvPr>
        <xdr:cNvSpPr>
          <a:spLocks noChangeAspect="1" noChangeArrowheads="1"/>
        </xdr:cNvSpPr>
      </xdr:nvSpPr>
      <xdr:spPr bwMode="auto">
        <a:xfrm>
          <a:off x="1969770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152400</xdr:colOff>
      <xdr:row>0</xdr:row>
      <xdr:rowOff>76200</xdr:rowOff>
    </xdr:from>
    <xdr:to>
      <xdr:col>9</xdr:col>
      <xdr:colOff>56143</xdr:colOff>
      <xdr:row>1</xdr:row>
      <xdr:rowOff>317500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B44D3F3-2A06-4CA7-E645-8534FA2B8E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57" b="14286"/>
        <a:stretch>
          <a:fillRect/>
        </a:stretch>
      </xdr:blipFill>
      <xdr:spPr>
        <a:xfrm>
          <a:off x="152400" y="76200"/>
          <a:ext cx="3193043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171061</xdr:colOff>
      <xdr:row>51</xdr:row>
      <xdr:rowOff>171061</xdr:rowOff>
    </xdr:from>
    <xdr:to>
      <xdr:col>6</xdr:col>
      <xdr:colOff>164451</xdr:colOff>
      <xdr:row>53</xdr:row>
      <xdr:rowOff>24491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69DBEFE-66A6-9E48-B76A-EBFC82432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8408" y="24749448"/>
          <a:ext cx="506573" cy="506573"/>
        </a:xfrm>
        <a:prstGeom prst="rect">
          <a:avLst/>
        </a:prstGeom>
      </xdr:spPr>
    </xdr:pic>
    <xdr:clientData/>
  </xdr:twoCellAnchor>
  <xdr:twoCellAnchor editAs="oneCell">
    <xdr:from>
      <xdr:col>4</xdr:col>
      <xdr:colOff>171061</xdr:colOff>
      <xdr:row>51</xdr:row>
      <xdr:rowOff>171061</xdr:rowOff>
    </xdr:from>
    <xdr:to>
      <xdr:col>6</xdr:col>
      <xdr:colOff>164451</xdr:colOff>
      <xdr:row>52</xdr:row>
      <xdr:rowOff>345619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CC4F353-5C23-40D6-A83D-1E9995CDC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961" y="24625818"/>
          <a:ext cx="505019" cy="506573"/>
        </a:xfrm>
        <a:prstGeom prst="rect">
          <a:avLst/>
        </a:prstGeom>
      </xdr:spPr>
    </xdr:pic>
    <xdr:clientData/>
  </xdr:twoCellAnchor>
  <xdr:twoCellAnchor editAs="oneCell">
    <xdr:from>
      <xdr:col>4</xdr:col>
      <xdr:colOff>171061</xdr:colOff>
      <xdr:row>51</xdr:row>
      <xdr:rowOff>171061</xdr:rowOff>
    </xdr:from>
    <xdr:to>
      <xdr:col>6</xdr:col>
      <xdr:colOff>164451</xdr:colOff>
      <xdr:row>52</xdr:row>
      <xdr:rowOff>345619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DF4B240-322F-42A7-8DEB-DABF6268B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961" y="24625818"/>
          <a:ext cx="505019" cy="5065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5</xdr:row>
      <xdr:rowOff>0</xdr:rowOff>
    </xdr:from>
    <xdr:to>
      <xdr:col>30</xdr:col>
      <xdr:colOff>304800</xdr:colOff>
      <xdr:row>5</xdr:row>
      <xdr:rowOff>304800</xdr:rowOff>
    </xdr:to>
    <xdr:sp macro="" textlink="">
      <xdr:nvSpPr>
        <xdr:cNvPr id="2" name="AutoShape 1" descr="샤르돈 그룹 글로벌 로고">
          <a:extLst>
            <a:ext uri="{FF2B5EF4-FFF2-40B4-BE49-F238E27FC236}">
              <a16:creationId xmlns:a16="http://schemas.microsoft.com/office/drawing/2014/main" id="{854506CC-B20A-4FFF-94C4-A54756021CDC}"/>
            </a:ext>
          </a:extLst>
        </xdr:cNvPr>
        <xdr:cNvSpPr>
          <a:spLocks noChangeAspect="1" noChangeArrowheads="1"/>
        </xdr:cNvSpPr>
      </xdr:nvSpPr>
      <xdr:spPr bwMode="auto">
        <a:xfrm>
          <a:off x="1954530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152400</xdr:colOff>
      <xdr:row>0</xdr:row>
      <xdr:rowOff>76200</xdr:rowOff>
    </xdr:from>
    <xdr:to>
      <xdr:col>9</xdr:col>
      <xdr:colOff>56143</xdr:colOff>
      <xdr:row>1</xdr:row>
      <xdr:rowOff>317500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5E933C5-804A-4C82-ACA5-81BBAE6840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57" b="14286"/>
        <a:stretch>
          <a:fillRect/>
        </a:stretch>
      </xdr:blipFill>
      <xdr:spPr>
        <a:xfrm>
          <a:off x="152400" y="76200"/>
          <a:ext cx="3189868" cy="717550"/>
        </a:xfrm>
        <a:prstGeom prst="rect">
          <a:avLst/>
        </a:prstGeom>
      </xdr:spPr>
    </xdr:pic>
    <xdr:clientData/>
  </xdr:twoCellAnchor>
  <xdr:twoCellAnchor editAs="oneCell">
    <xdr:from>
      <xdr:col>4</xdr:col>
      <xdr:colOff>171061</xdr:colOff>
      <xdr:row>51</xdr:row>
      <xdr:rowOff>171061</xdr:rowOff>
    </xdr:from>
    <xdr:to>
      <xdr:col>6</xdr:col>
      <xdr:colOff>164451</xdr:colOff>
      <xdr:row>53</xdr:row>
      <xdr:rowOff>24491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95CF0DB-1BC1-4486-B445-148A015AB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961" y="24582275"/>
          <a:ext cx="505019" cy="506573"/>
        </a:xfrm>
        <a:prstGeom prst="rect">
          <a:avLst/>
        </a:prstGeom>
      </xdr:spPr>
    </xdr:pic>
    <xdr:clientData/>
  </xdr:twoCellAnchor>
  <xdr:twoCellAnchor editAs="oneCell">
    <xdr:from>
      <xdr:col>4</xdr:col>
      <xdr:colOff>171061</xdr:colOff>
      <xdr:row>51</xdr:row>
      <xdr:rowOff>171061</xdr:rowOff>
    </xdr:from>
    <xdr:to>
      <xdr:col>6</xdr:col>
      <xdr:colOff>164451</xdr:colOff>
      <xdr:row>53</xdr:row>
      <xdr:rowOff>24491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FFEC04E-5E8F-4EC2-8046-1A8DFCF13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961" y="24582275"/>
          <a:ext cx="505019" cy="5065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5</xdr:row>
      <xdr:rowOff>0</xdr:rowOff>
    </xdr:from>
    <xdr:to>
      <xdr:col>30</xdr:col>
      <xdr:colOff>304800</xdr:colOff>
      <xdr:row>5</xdr:row>
      <xdr:rowOff>304800</xdr:rowOff>
    </xdr:to>
    <xdr:sp macro="" textlink="">
      <xdr:nvSpPr>
        <xdr:cNvPr id="2" name="AutoShape 1" descr="샤르돈 그룹 글로벌 로고">
          <a:extLst>
            <a:ext uri="{FF2B5EF4-FFF2-40B4-BE49-F238E27FC236}">
              <a16:creationId xmlns:a16="http://schemas.microsoft.com/office/drawing/2014/main" id="{57E5F885-92FD-4C75-A4BF-B581EEFEE82F}"/>
            </a:ext>
          </a:extLst>
        </xdr:cNvPr>
        <xdr:cNvSpPr>
          <a:spLocks noChangeAspect="1" noChangeArrowheads="1"/>
        </xdr:cNvSpPr>
      </xdr:nvSpPr>
      <xdr:spPr bwMode="auto">
        <a:xfrm>
          <a:off x="19240500" y="21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152400</xdr:colOff>
      <xdr:row>0</xdr:row>
      <xdr:rowOff>76200</xdr:rowOff>
    </xdr:from>
    <xdr:to>
      <xdr:col>9</xdr:col>
      <xdr:colOff>56143</xdr:colOff>
      <xdr:row>1</xdr:row>
      <xdr:rowOff>317500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C8B92A2-9C3B-4654-B0E3-57EBCED78F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57" b="14286"/>
        <a:stretch>
          <a:fillRect/>
        </a:stretch>
      </xdr:blipFill>
      <xdr:spPr>
        <a:xfrm>
          <a:off x="152400" y="76200"/>
          <a:ext cx="3189868" cy="717550"/>
        </a:xfrm>
        <a:prstGeom prst="rect">
          <a:avLst/>
        </a:prstGeom>
      </xdr:spPr>
    </xdr:pic>
    <xdr:clientData/>
  </xdr:twoCellAnchor>
  <xdr:twoCellAnchor editAs="oneCell">
    <xdr:from>
      <xdr:col>4</xdr:col>
      <xdr:colOff>171061</xdr:colOff>
      <xdr:row>51</xdr:row>
      <xdr:rowOff>171061</xdr:rowOff>
    </xdr:from>
    <xdr:to>
      <xdr:col>6</xdr:col>
      <xdr:colOff>164451</xdr:colOff>
      <xdr:row>53</xdr:row>
      <xdr:rowOff>24491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D80CB70-979E-4BEE-80ED-BBEFDB9FA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961" y="24582275"/>
          <a:ext cx="505019" cy="506573"/>
        </a:xfrm>
        <a:prstGeom prst="rect">
          <a:avLst/>
        </a:prstGeom>
      </xdr:spPr>
    </xdr:pic>
    <xdr:clientData/>
  </xdr:twoCellAnchor>
  <xdr:twoCellAnchor editAs="oneCell">
    <xdr:from>
      <xdr:col>4</xdr:col>
      <xdr:colOff>171061</xdr:colOff>
      <xdr:row>51</xdr:row>
      <xdr:rowOff>171061</xdr:rowOff>
    </xdr:from>
    <xdr:to>
      <xdr:col>6</xdr:col>
      <xdr:colOff>164451</xdr:colOff>
      <xdr:row>53</xdr:row>
      <xdr:rowOff>24491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6C3B1E3-7B52-4C45-8E7F-7D98EC7E6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961" y="24582275"/>
          <a:ext cx="505019" cy="506573"/>
        </a:xfrm>
        <a:prstGeom prst="rect">
          <a:avLst/>
        </a:prstGeom>
      </xdr:spPr>
    </xdr:pic>
    <xdr:clientData/>
  </xdr:twoCellAnchor>
  <xdr:twoCellAnchor editAs="oneCell">
    <xdr:from>
      <xdr:col>4</xdr:col>
      <xdr:colOff>171061</xdr:colOff>
      <xdr:row>51</xdr:row>
      <xdr:rowOff>171061</xdr:rowOff>
    </xdr:from>
    <xdr:to>
      <xdr:col>6</xdr:col>
      <xdr:colOff>164451</xdr:colOff>
      <xdr:row>53</xdr:row>
      <xdr:rowOff>24491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68022C0-7BCA-4E29-B662-48691B92A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961" y="24625818"/>
          <a:ext cx="505019" cy="506573"/>
        </a:xfrm>
        <a:prstGeom prst="rect">
          <a:avLst/>
        </a:prstGeom>
      </xdr:spPr>
    </xdr:pic>
    <xdr:clientData/>
  </xdr:twoCellAnchor>
  <xdr:twoCellAnchor editAs="oneCell">
    <xdr:from>
      <xdr:col>4</xdr:col>
      <xdr:colOff>171061</xdr:colOff>
      <xdr:row>51</xdr:row>
      <xdr:rowOff>171061</xdr:rowOff>
    </xdr:from>
    <xdr:to>
      <xdr:col>6</xdr:col>
      <xdr:colOff>164451</xdr:colOff>
      <xdr:row>53</xdr:row>
      <xdr:rowOff>24491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EE105CE-B598-41AC-A248-F624F7CC7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961" y="24625818"/>
          <a:ext cx="505019" cy="5065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E53"/>
  <sheetViews>
    <sheetView tabSelected="1" view="pageBreakPreview" topLeftCell="A4" zoomScale="70" zoomScaleNormal="75" zoomScaleSheetLayoutView="70" workbookViewId="0">
      <selection activeCell="W11" sqref="W11:W12"/>
    </sheetView>
  </sheetViews>
  <sheetFormatPr defaultColWidth="9" defaultRowHeight="14.15"/>
  <cols>
    <col min="1" max="1" width="9" style="3" customWidth="1"/>
    <col min="2" max="4" width="3.5" style="3" customWidth="1"/>
    <col min="5" max="7" width="3.35546875" style="3" customWidth="1"/>
    <col min="8" max="9" width="6.7109375" style="3" customWidth="1"/>
    <col min="10" max="13" width="12.35546875" style="3" customWidth="1"/>
    <col min="14" max="15" width="10.5" style="3" customWidth="1"/>
    <col min="16" max="16" width="10.35546875" style="3" customWidth="1"/>
    <col min="17" max="17" width="10" style="3" bestFit="1" customWidth="1"/>
    <col min="18" max="19" width="9.5" style="3" customWidth="1"/>
    <col min="20" max="20" width="9" style="3"/>
    <col min="21" max="21" width="10.7109375" style="3" customWidth="1"/>
    <col min="22" max="22" width="17.640625" style="3" customWidth="1"/>
    <col min="23" max="23" width="11.640625" style="3" customWidth="1"/>
    <col min="24" max="24" width="10" style="3" bestFit="1" customWidth="1"/>
    <col min="25" max="16384" width="9" style="3"/>
  </cols>
  <sheetData>
    <row r="1" spans="1:31" ht="37.5" customHeight="1">
      <c r="A1" s="35" t="s">
        <v>51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7"/>
      <c r="W1" s="37"/>
      <c r="X1" s="37"/>
      <c r="Y1" s="37"/>
    </row>
    <row r="2" spans="1:31" ht="37.5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7"/>
      <c r="W2" s="37"/>
      <c r="X2" s="37"/>
      <c r="Y2" s="37"/>
    </row>
    <row r="3" spans="1:31" ht="37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 t="s">
        <v>43</v>
      </c>
      <c r="W3" s="39"/>
      <c r="X3" s="39"/>
      <c r="Y3" s="39"/>
    </row>
    <row r="4" spans="1:31" s="4" customFormat="1" ht="29.25" customHeight="1">
      <c r="A4" s="49" t="s">
        <v>41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1"/>
      <c r="M4" s="7" t="s">
        <v>12</v>
      </c>
      <c r="N4" s="7" t="s">
        <v>13</v>
      </c>
      <c r="O4" s="7" t="s">
        <v>10</v>
      </c>
      <c r="P4" s="40" t="s">
        <v>42</v>
      </c>
      <c r="Q4" s="41"/>
      <c r="R4" s="41"/>
      <c r="S4" s="41"/>
      <c r="T4" s="41"/>
      <c r="U4" s="41"/>
      <c r="V4" s="41"/>
      <c r="W4" s="41"/>
      <c r="X4" s="41"/>
      <c r="Y4" s="42"/>
    </row>
    <row r="5" spans="1:31" s="4" customFormat="1" ht="45" customHeight="1">
      <c r="A5" s="52" t="s">
        <v>56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1"/>
      <c r="M5" s="7" t="s">
        <v>16</v>
      </c>
      <c r="N5" s="7" t="s">
        <v>18</v>
      </c>
      <c r="O5" s="7" t="s">
        <v>31</v>
      </c>
      <c r="P5" s="43"/>
      <c r="Q5" s="44"/>
      <c r="R5" s="44"/>
      <c r="S5" s="44"/>
      <c r="T5" s="44"/>
      <c r="U5" s="44"/>
      <c r="V5" s="44"/>
      <c r="W5" s="44"/>
      <c r="X5" s="44"/>
      <c r="Y5" s="45"/>
    </row>
    <row r="6" spans="1:31" s="4" customFormat="1" ht="29.25" customHeight="1">
      <c r="A6" s="49" t="s">
        <v>37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1"/>
      <c r="M6" s="7" t="s">
        <v>1</v>
      </c>
      <c r="N6" s="7" t="s">
        <v>11</v>
      </c>
      <c r="O6" s="7">
        <v>1.5</v>
      </c>
      <c r="P6" s="46" t="s">
        <v>21</v>
      </c>
      <c r="Q6" s="47"/>
      <c r="R6" s="47"/>
      <c r="S6" s="47"/>
      <c r="T6" s="47"/>
      <c r="U6" s="47"/>
      <c r="V6" s="47"/>
      <c r="W6" s="47"/>
      <c r="X6" s="47"/>
      <c r="Y6" s="48"/>
      <c r="AE6" s="3"/>
    </row>
    <row r="7" spans="1:31" s="4" customFormat="1" ht="33" customHeight="1">
      <c r="A7" s="52" t="s">
        <v>46</v>
      </c>
      <c r="B7" s="86"/>
      <c r="C7" s="86"/>
      <c r="D7" s="87">
        <v>46260</v>
      </c>
      <c r="E7" s="88"/>
      <c r="F7" s="88"/>
      <c r="G7" s="88"/>
      <c r="H7" s="89"/>
      <c r="I7" s="53">
        <v>100</v>
      </c>
      <c r="J7" s="54"/>
      <c r="K7" s="54"/>
      <c r="L7" s="55"/>
      <c r="M7" s="7" t="s">
        <v>0</v>
      </c>
      <c r="N7" s="7" t="s">
        <v>18</v>
      </c>
      <c r="O7" s="7" t="s">
        <v>31</v>
      </c>
      <c r="P7" s="46" t="s">
        <v>17</v>
      </c>
      <c r="Q7" s="47"/>
      <c r="R7" s="47"/>
      <c r="S7" s="47"/>
      <c r="T7" s="47"/>
      <c r="U7" s="47"/>
      <c r="V7" s="47"/>
      <c r="W7" s="47"/>
      <c r="X7" s="47"/>
      <c r="Y7" s="48"/>
    </row>
    <row r="8" spans="1:31" ht="17.899999999999999" customHeight="1">
      <c r="A8" s="34" t="s">
        <v>35</v>
      </c>
      <c r="B8" s="28" t="s">
        <v>2</v>
      </c>
      <c r="C8" s="28"/>
      <c r="D8" s="28"/>
      <c r="E8" s="28"/>
      <c r="F8" s="28"/>
      <c r="G8" s="28"/>
      <c r="H8" s="28"/>
      <c r="I8" s="29"/>
      <c r="J8" s="24" t="s">
        <v>12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6"/>
      <c r="W8" s="26"/>
      <c r="X8" s="26"/>
      <c r="Y8" s="27"/>
    </row>
    <row r="9" spans="1:31" ht="17.899999999999999" customHeight="1">
      <c r="A9" s="34"/>
      <c r="B9" s="30"/>
      <c r="C9" s="30"/>
      <c r="D9" s="30"/>
      <c r="E9" s="30"/>
      <c r="F9" s="30"/>
      <c r="G9" s="30"/>
      <c r="H9" s="30"/>
      <c r="I9" s="30"/>
      <c r="J9" s="56" t="s">
        <v>39</v>
      </c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26" t="s">
        <v>40</v>
      </c>
      <c r="W9" s="26"/>
      <c r="X9" s="26"/>
      <c r="Y9" s="57" t="s">
        <v>15</v>
      </c>
    </row>
    <row r="10" spans="1:31" ht="17.899999999999999" customHeight="1">
      <c r="A10" s="34"/>
      <c r="B10" s="30"/>
      <c r="C10" s="30"/>
      <c r="D10" s="30"/>
      <c r="E10" s="30"/>
      <c r="F10" s="30"/>
      <c r="G10" s="30"/>
      <c r="H10" s="30"/>
      <c r="I10" s="31"/>
      <c r="J10" s="63" t="s">
        <v>1</v>
      </c>
      <c r="K10" s="63"/>
      <c r="L10" s="63"/>
      <c r="M10" s="63"/>
      <c r="N10" s="8" t="s">
        <v>16</v>
      </c>
      <c r="O10" s="60" t="s">
        <v>38</v>
      </c>
      <c r="P10" s="61"/>
      <c r="Q10" s="61"/>
      <c r="R10" s="61"/>
      <c r="S10" s="61"/>
      <c r="T10" s="61"/>
      <c r="U10" s="61"/>
      <c r="V10" s="62"/>
      <c r="W10" s="62"/>
      <c r="X10" s="62"/>
      <c r="Y10" s="58"/>
    </row>
    <row r="11" spans="1:31" ht="141" customHeight="1">
      <c r="A11" s="34"/>
      <c r="B11" s="30"/>
      <c r="C11" s="30"/>
      <c r="D11" s="30"/>
      <c r="E11" s="30"/>
      <c r="F11" s="30"/>
      <c r="G11" s="30"/>
      <c r="H11" s="30"/>
      <c r="I11" s="31"/>
      <c r="J11" s="64" t="s">
        <v>47</v>
      </c>
      <c r="K11" s="64" t="s">
        <v>48</v>
      </c>
      <c r="L11" s="64" t="s">
        <v>49</v>
      </c>
      <c r="M11" s="64" t="s">
        <v>50</v>
      </c>
      <c r="N11" s="64" t="s">
        <v>16</v>
      </c>
      <c r="O11" s="64" t="s">
        <v>25</v>
      </c>
      <c r="P11" s="68" t="s">
        <v>57</v>
      </c>
      <c r="Q11" s="64" t="s">
        <v>19</v>
      </c>
      <c r="R11" s="66" t="s">
        <v>34</v>
      </c>
      <c r="S11" s="67"/>
      <c r="T11" s="64" t="s">
        <v>9</v>
      </c>
      <c r="U11" s="68" t="s">
        <v>52</v>
      </c>
      <c r="V11" s="80" t="s">
        <v>58</v>
      </c>
      <c r="W11" s="68" t="s">
        <v>64</v>
      </c>
      <c r="X11" s="80" t="s">
        <v>44</v>
      </c>
      <c r="Y11" s="58"/>
    </row>
    <row r="12" spans="1:31" ht="43.5" customHeight="1">
      <c r="A12" s="34"/>
      <c r="B12" s="30"/>
      <c r="C12" s="30"/>
      <c r="D12" s="30"/>
      <c r="E12" s="30"/>
      <c r="F12" s="30"/>
      <c r="G12" s="30"/>
      <c r="H12" s="30"/>
      <c r="I12" s="31"/>
      <c r="J12" s="65"/>
      <c r="K12" s="65"/>
      <c r="L12" s="65"/>
      <c r="M12" s="65"/>
      <c r="N12" s="65"/>
      <c r="O12" s="65"/>
      <c r="P12" s="69"/>
      <c r="Q12" s="65"/>
      <c r="R12" s="21" t="s">
        <v>33</v>
      </c>
      <c r="S12" s="21" t="s">
        <v>32</v>
      </c>
      <c r="T12" s="65"/>
      <c r="U12" s="69"/>
      <c r="V12" s="81"/>
      <c r="W12" s="69"/>
      <c r="X12" s="81"/>
      <c r="Y12" s="58"/>
    </row>
    <row r="13" spans="1:31" s="5" customFormat="1" ht="27.75" customHeight="1">
      <c r="A13" s="34"/>
      <c r="B13" s="32"/>
      <c r="C13" s="32"/>
      <c r="D13" s="32"/>
      <c r="E13" s="32"/>
      <c r="F13" s="32"/>
      <c r="G13" s="32"/>
      <c r="H13" s="32"/>
      <c r="I13" s="33"/>
      <c r="J13" s="82">
        <f>MIN($I$7, _xlfn.IFS($I$7&lt;=8,2, $I$7&lt;=15,2, $I$7&lt;=25,3, $I$7&lt;=50,5, $I$7&lt;=90,5, $I$7&lt;=150,8, $I$7&lt;=280,13, $I$7&lt;=500,20, $I$7&lt;=1200,32, $I$7&lt;=3200,50, $I$7&lt;=10000,88, $I$7&lt;=35000,125, $I$7&lt;=150000,200, $I$7&lt;=500000,315, $I$7&gt;=500001,500))</f>
        <v>8</v>
      </c>
      <c r="K13" s="82"/>
      <c r="L13" s="82"/>
      <c r="M13" s="82"/>
      <c r="N13" s="83" t="s">
        <v>53</v>
      </c>
      <c r="O13" s="84"/>
      <c r="P13" s="84"/>
      <c r="Q13" s="84"/>
      <c r="R13" s="84"/>
      <c r="S13" s="84"/>
      <c r="T13" s="84"/>
      <c r="U13" s="84"/>
      <c r="V13" s="84"/>
      <c r="W13" s="84"/>
      <c r="X13" s="85"/>
      <c r="Y13" s="59"/>
    </row>
    <row r="14" spans="1:31" ht="36.75" customHeight="1">
      <c r="A14" s="10" cm="1">
        <f t="array" ref="A14:A48">_xlfn.SEQUENCE(35)</f>
        <v>1</v>
      </c>
      <c r="B14" s="113" t="s">
        <v>59</v>
      </c>
      <c r="C14" s="113"/>
      <c r="D14" s="113"/>
      <c r="E14" s="70"/>
      <c r="F14" s="70"/>
      <c r="G14" s="70"/>
      <c r="H14" s="70" t="s">
        <v>36</v>
      </c>
      <c r="I14" s="71"/>
      <c r="J14" s="11"/>
      <c r="K14" s="11"/>
      <c r="L14" s="11"/>
      <c r="M14" s="11"/>
      <c r="N14" s="12"/>
      <c r="O14" s="10"/>
      <c r="P14" s="11"/>
      <c r="Q14" s="10"/>
      <c r="R14" s="11"/>
      <c r="S14" s="11"/>
      <c r="T14" s="10"/>
      <c r="U14" s="10"/>
      <c r="V14" s="22"/>
      <c r="W14" s="10"/>
      <c r="X14" s="10"/>
      <c r="Y14" s="10"/>
    </row>
    <row r="15" spans="1:31" ht="36.75" customHeight="1">
      <c r="A15" s="10">
        <v>2</v>
      </c>
      <c r="B15" s="113" t="s">
        <v>59</v>
      </c>
      <c r="C15" s="113"/>
      <c r="D15" s="113"/>
      <c r="E15" s="70"/>
      <c r="F15" s="70"/>
      <c r="G15" s="70"/>
      <c r="H15" s="70" t="s">
        <v>36</v>
      </c>
      <c r="I15" s="71"/>
      <c r="J15" s="11"/>
      <c r="K15" s="11"/>
      <c r="L15" s="11"/>
      <c r="M15" s="11"/>
      <c r="N15" s="12"/>
      <c r="O15" s="10"/>
      <c r="P15" s="11"/>
      <c r="Q15" s="10"/>
      <c r="R15" s="11"/>
      <c r="S15" s="11"/>
      <c r="T15" s="10"/>
      <c r="U15" s="10"/>
      <c r="V15" s="22"/>
      <c r="W15" s="10"/>
      <c r="X15" s="10"/>
      <c r="Y15" s="10"/>
    </row>
    <row r="16" spans="1:31" ht="36.75" customHeight="1">
      <c r="A16" s="10">
        <v>3</v>
      </c>
      <c r="B16" s="113" t="s">
        <v>59</v>
      </c>
      <c r="C16" s="113"/>
      <c r="D16" s="113"/>
      <c r="E16" s="70"/>
      <c r="F16" s="70"/>
      <c r="G16" s="70"/>
      <c r="H16" s="70" t="s">
        <v>36</v>
      </c>
      <c r="I16" s="71"/>
      <c r="J16" s="11"/>
      <c r="K16" s="11"/>
      <c r="L16" s="11"/>
      <c r="M16" s="11"/>
      <c r="N16" s="12"/>
      <c r="O16" s="10"/>
      <c r="P16" s="11"/>
      <c r="Q16" s="10"/>
      <c r="R16" s="11"/>
      <c r="S16" s="11"/>
      <c r="T16" s="10"/>
      <c r="U16" s="10"/>
      <c r="V16" s="22"/>
      <c r="W16" s="10"/>
      <c r="X16" s="10"/>
      <c r="Y16" s="10"/>
    </row>
    <row r="17" spans="1:25" ht="36.75" customHeight="1">
      <c r="A17" s="10">
        <v>4</v>
      </c>
      <c r="B17" s="113" t="s">
        <v>59</v>
      </c>
      <c r="C17" s="113"/>
      <c r="D17" s="113"/>
      <c r="E17" s="70"/>
      <c r="F17" s="70"/>
      <c r="G17" s="70"/>
      <c r="H17" s="70" t="s">
        <v>36</v>
      </c>
      <c r="I17" s="71"/>
      <c r="J17" s="11"/>
      <c r="K17" s="11"/>
      <c r="L17" s="11"/>
      <c r="M17" s="11"/>
      <c r="N17" s="12"/>
      <c r="O17" s="10"/>
      <c r="P17" s="11"/>
      <c r="Q17" s="10"/>
      <c r="R17" s="11"/>
      <c r="S17" s="11"/>
      <c r="T17" s="10"/>
      <c r="U17" s="10"/>
      <c r="V17" s="22"/>
      <c r="W17" s="10"/>
      <c r="X17" s="10"/>
      <c r="Y17" s="10"/>
    </row>
    <row r="18" spans="1:25" ht="36.75" customHeight="1">
      <c r="A18" s="10">
        <v>5</v>
      </c>
      <c r="B18" s="113" t="s">
        <v>59</v>
      </c>
      <c r="C18" s="113"/>
      <c r="D18" s="113"/>
      <c r="E18" s="70"/>
      <c r="F18" s="70"/>
      <c r="G18" s="70"/>
      <c r="H18" s="70" t="s">
        <v>36</v>
      </c>
      <c r="I18" s="71"/>
      <c r="J18" s="11"/>
      <c r="K18" s="11"/>
      <c r="L18" s="11"/>
      <c r="M18" s="11"/>
      <c r="N18" s="12"/>
      <c r="O18" s="10"/>
      <c r="P18" s="11"/>
      <c r="Q18" s="10"/>
      <c r="R18" s="11"/>
      <c r="S18" s="11"/>
      <c r="T18" s="10"/>
      <c r="U18" s="10"/>
      <c r="V18" s="22"/>
      <c r="W18" s="10"/>
      <c r="X18" s="10"/>
      <c r="Y18" s="10"/>
    </row>
    <row r="19" spans="1:25" ht="36.75" customHeight="1">
      <c r="A19" s="10">
        <v>6</v>
      </c>
      <c r="B19" s="113" t="s">
        <v>59</v>
      </c>
      <c r="C19" s="113"/>
      <c r="D19" s="113"/>
      <c r="E19" s="70"/>
      <c r="F19" s="70"/>
      <c r="G19" s="70"/>
      <c r="H19" s="70" t="s">
        <v>36</v>
      </c>
      <c r="I19" s="71"/>
      <c r="J19" s="11"/>
      <c r="K19" s="11"/>
      <c r="L19" s="11"/>
      <c r="M19" s="11"/>
      <c r="N19" s="12"/>
      <c r="O19" s="10"/>
      <c r="P19" s="11"/>
      <c r="Q19" s="10"/>
      <c r="R19" s="11"/>
      <c r="S19" s="11"/>
      <c r="T19" s="10"/>
      <c r="U19" s="10"/>
      <c r="V19" s="22"/>
      <c r="W19" s="10"/>
      <c r="X19" s="10"/>
      <c r="Y19" s="10"/>
    </row>
    <row r="20" spans="1:25" ht="36.75" customHeight="1">
      <c r="A20" s="10">
        <v>7</v>
      </c>
      <c r="B20" s="113" t="s">
        <v>59</v>
      </c>
      <c r="C20" s="113"/>
      <c r="D20" s="113"/>
      <c r="E20" s="70"/>
      <c r="F20" s="70"/>
      <c r="G20" s="70"/>
      <c r="H20" s="70" t="s">
        <v>36</v>
      </c>
      <c r="I20" s="71"/>
      <c r="J20" s="11"/>
      <c r="K20" s="11"/>
      <c r="L20" s="11"/>
      <c r="M20" s="11"/>
      <c r="N20" s="12"/>
      <c r="O20" s="10"/>
      <c r="P20" s="11"/>
      <c r="Q20" s="10"/>
      <c r="R20" s="11"/>
      <c r="S20" s="11"/>
      <c r="T20" s="10"/>
      <c r="U20" s="10"/>
      <c r="V20" s="22"/>
      <c r="W20" s="10"/>
      <c r="X20" s="10"/>
      <c r="Y20" s="10"/>
    </row>
    <row r="21" spans="1:25" ht="36.75" customHeight="1">
      <c r="A21" s="10">
        <v>8</v>
      </c>
      <c r="B21" s="113" t="s">
        <v>59</v>
      </c>
      <c r="C21" s="113"/>
      <c r="D21" s="113"/>
      <c r="E21" s="70"/>
      <c r="F21" s="70"/>
      <c r="G21" s="70"/>
      <c r="H21" s="70" t="s">
        <v>36</v>
      </c>
      <c r="I21" s="71"/>
      <c r="J21" s="11"/>
      <c r="K21" s="11"/>
      <c r="L21" s="11"/>
      <c r="M21" s="11"/>
      <c r="N21" s="12"/>
      <c r="O21" s="10"/>
      <c r="P21" s="11"/>
      <c r="Q21" s="10"/>
      <c r="R21" s="11"/>
      <c r="S21" s="11"/>
      <c r="T21" s="10"/>
      <c r="U21" s="10"/>
      <c r="V21" s="22"/>
      <c r="W21" s="10"/>
      <c r="X21" s="10"/>
      <c r="Y21" s="10"/>
    </row>
    <row r="22" spans="1:25" ht="36.75" customHeight="1">
      <c r="A22" s="10">
        <v>9</v>
      </c>
      <c r="B22" s="113" t="s">
        <v>59</v>
      </c>
      <c r="C22" s="113"/>
      <c r="D22" s="113"/>
      <c r="E22" s="70"/>
      <c r="F22" s="70"/>
      <c r="G22" s="70"/>
      <c r="H22" s="70" t="s">
        <v>36</v>
      </c>
      <c r="I22" s="71"/>
      <c r="J22" s="11"/>
      <c r="K22" s="11"/>
      <c r="L22" s="11"/>
      <c r="M22" s="11"/>
      <c r="N22" s="12"/>
      <c r="O22" s="10"/>
      <c r="P22" s="11"/>
      <c r="Q22" s="10"/>
      <c r="R22" s="11"/>
      <c r="S22" s="11"/>
      <c r="T22" s="10"/>
      <c r="U22" s="10"/>
      <c r="V22" s="22"/>
      <c r="W22" s="10"/>
      <c r="X22" s="10"/>
      <c r="Y22" s="10"/>
    </row>
    <row r="23" spans="1:25" ht="36.75" customHeight="1">
      <c r="A23" s="10">
        <v>10</v>
      </c>
      <c r="B23" s="113" t="s">
        <v>59</v>
      </c>
      <c r="C23" s="113"/>
      <c r="D23" s="113"/>
      <c r="E23" s="70"/>
      <c r="F23" s="70"/>
      <c r="G23" s="70"/>
      <c r="H23" s="70" t="s">
        <v>36</v>
      </c>
      <c r="I23" s="71"/>
      <c r="J23" s="11"/>
      <c r="K23" s="11"/>
      <c r="L23" s="11"/>
      <c r="M23" s="11"/>
      <c r="N23" s="12"/>
      <c r="O23" s="10"/>
      <c r="P23" s="11"/>
      <c r="Q23" s="10"/>
      <c r="R23" s="11"/>
      <c r="S23" s="11"/>
      <c r="T23" s="10"/>
      <c r="U23" s="10"/>
      <c r="V23" s="22"/>
      <c r="W23" s="10"/>
      <c r="X23" s="10"/>
      <c r="Y23" s="10"/>
    </row>
    <row r="24" spans="1:25" ht="36.75" customHeight="1">
      <c r="A24" s="10">
        <v>11</v>
      </c>
      <c r="B24" s="113" t="s">
        <v>59</v>
      </c>
      <c r="C24" s="113"/>
      <c r="D24" s="113"/>
      <c r="E24" s="70"/>
      <c r="F24" s="70"/>
      <c r="G24" s="70"/>
      <c r="H24" s="70" t="s">
        <v>36</v>
      </c>
      <c r="I24" s="71"/>
      <c r="J24" s="11"/>
      <c r="K24" s="11"/>
      <c r="L24" s="11"/>
      <c r="M24" s="11"/>
      <c r="N24" s="12"/>
      <c r="O24" s="10"/>
      <c r="P24" s="11"/>
      <c r="Q24" s="10"/>
      <c r="R24" s="11"/>
      <c r="S24" s="11"/>
      <c r="T24" s="10"/>
      <c r="U24" s="10"/>
      <c r="V24" s="22"/>
      <c r="W24" s="10"/>
      <c r="X24" s="10"/>
      <c r="Y24" s="10"/>
    </row>
    <row r="25" spans="1:25" ht="36.75" customHeight="1">
      <c r="A25" s="10">
        <v>12</v>
      </c>
      <c r="B25" s="113" t="s">
        <v>59</v>
      </c>
      <c r="C25" s="113"/>
      <c r="D25" s="113"/>
      <c r="E25" s="70"/>
      <c r="F25" s="70"/>
      <c r="G25" s="70"/>
      <c r="H25" s="70" t="s">
        <v>36</v>
      </c>
      <c r="I25" s="71"/>
      <c r="J25" s="11"/>
      <c r="K25" s="11"/>
      <c r="L25" s="11"/>
      <c r="M25" s="11"/>
      <c r="N25" s="12"/>
      <c r="O25" s="10"/>
      <c r="P25" s="11"/>
      <c r="Q25" s="10"/>
      <c r="R25" s="11"/>
      <c r="S25" s="11"/>
      <c r="T25" s="10"/>
      <c r="U25" s="10"/>
      <c r="V25" s="22"/>
      <c r="W25" s="10"/>
      <c r="X25" s="10"/>
      <c r="Y25" s="10"/>
    </row>
    <row r="26" spans="1:25" ht="36.75" customHeight="1">
      <c r="A26" s="10">
        <v>13</v>
      </c>
      <c r="B26" s="113" t="s">
        <v>59</v>
      </c>
      <c r="C26" s="113"/>
      <c r="D26" s="113"/>
      <c r="E26" s="70"/>
      <c r="F26" s="70"/>
      <c r="G26" s="70"/>
      <c r="H26" s="70" t="s">
        <v>36</v>
      </c>
      <c r="I26" s="71"/>
      <c r="J26" s="11"/>
      <c r="K26" s="11"/>
      <c r="L26" s="11"/>
      <c r="M26" s="11"/>
      <c r="N26" s="12"/>
      <c r="O26" s="10"/>
      <c r="P26" s="11"/>
      <c r="Q26" s="10"/>
      <c r="R26" s="11"/>
      <c r="S26" s="11"/>
      <c r="T26" s="10"/>
      <c r="U26" s="10"/>
      <c r="V26" s="22"/>
      <c r="W26" s="10"/>
      <c r="X26" s="10"/>
      <c r="Y26" s="10"/>
    </row>
    <row r="27" spans="1:25" ht="36.75" customHeight="1">
      <c r="A27" s="10">
        <v>14</v>
      </c>
      <c r="B27" s="113" t="s">
        <v>59</v>
      </c>
      <c r="C27" s="113"/>
      <c r="D27" s="113"/>
      <c r="E27" s="70"/>
      <c r="F27" s="70"/>
      <c r="G27" s="70"/>
      <c r="H27" s="70" t="s">
        <v>36</v>
      </c>
      <c r="I27" s="71"/>
      <c r="J27" s="11"/>
      <c r="K27" s="11"/>
      <c r="L27" s="11"/>
      <c r="M27" s="11"/>
      <c r="N27" s="12"/>
      <c r="O27" s="10"/>
      <c r="P27" s="11"/>
      <c r="Q27" s="10"/>
      <c r="R27" s="11"/>
      <c r="S27" s="11"/>
      <c r="T27" s="10"/>
      <c r="U27" s="10"/>
      <c r="V27" s="22"/>
      <c r="W27" s="10"/>
      <c r="X27" s="10"/>
      <c r="Y27" s="10"/>
    </row>
    <row r="28" spans="1:25" ht="36.75" customHeight="1">
      <c r="A28" s="10">
        <v>15</v>
      </c>
      <c r="B28" s="113" t="s">
        <v>59</v>
      </c>
      <c r="C28" s="113"/>
      <c r="D28" s="113"/>
      <c r="E28" s="70"/>
      <c r="F28" s="70"/>
      <c r="G28" s="70"/>
      <c r="H28" s="70" t="s">
        <v>36</v>
      </c>
      <c r="I28" s="71"/>
      <c r="J28" s="11"/>
      <c r="K28" s="11"/>
      <c r="L28" s="11"/>
      <c r="M28" s="11"/>
      <c r="N28" s="12"/>
      <c r="O28" s="10"/>
      <c r="P28" s="11"/>
      <c r="Q28" s="10"/>
      <c r="R28" s="11"/>
      <c r="S28" s="11"/>
      <c r="T28" s="10"/>
      <c r="U28" s="10"/>
      <c r="V28" s="22"/>
      <c r="W28" s="10"/>
      <c r="X28" s="10"/>
      <c r="Y28" s="10"/>
    </row>
    <row r="29" spans="1:25" ht="36.75" customHeight="1">
      <c r="A29" s="10">
        <v>16</v>
      </c>
      <c r="B29" s="113" t="s">
        <v>59</v>
      </c>
      <c r="C29" s="113"/>
      <c r="D29" s="113"/>
      <c r="E29" s="70"/>
      <c r="F29" s="70"/>
      <c r="G29" s="70"/>
      <c r="H29" s="70" t="s">
        <v>36</v>
      </c>
      <c r="I29" s="71"/>
      <c r="J29" s="11"/>
      <c r="K29" s="11"/>
      <c r="L29" s="11"/>
      <c r="M29" s="11"/>
      <c r="N29" s="12"/>
      <c r="O29" s="10"/>
      <c r="P29" s="11"/>
      <c r="Q29" s="10"/>
      <c r="R29" s="11"/>
      <c r="S29" s="11"/>
      <c r="T29" s="10"/>
      <c r="U29" s="10"/>
      <c r="V29" s="22"/>
      <c r="W29" s="10"/>
      <c r="X29" s="10"/>
      <c r="Y29" s="10"/>
    </row>
    <row r="30" spans="1:25" ht="36.75" customHeight="1">
      <c r="A30" s="10">
        <v>17</v>
      </c>
      <c r="B30" s="113" t="s">
        <v>59</v>
      </c>
      <c r="C30" s="113"/>
      <c r="D30" s="113"/>
      <c r="E30" s="70"/>
      <c r="F30" s="70"/>
      <c r="G30" s="70"/>
      <c r="H30" s="70" t="s">
        <v>36</v>
      </c>
      <c r="I30" s="71"/>
      <c r="J30" s="11"/>
      <c r="K30" s="11"/>
      <c r="L30" s="11"/>
      <c r="M30" s="11"/>
      <c r="N30" s="12"/>
      <c r="O30" s="10"/>
      <c r="P30" s="11"/>
      <c r="Q30" s="10"/>
      <c r="R30" s="11"/>
      <c r="S30" s="11"/>
      <c r="T30" s="10"/>
      <c r="U30" s="10"/>
      <c r="V30" s="22"/>
      <c r="W30" s="10"/>
      <c r="X30" s="10"/>
      <c r="Y30" s="10"/>
    </row>
    <row r="31" spans="1:25" ht="36.75" customHeight="1">
      <c r="A31" s="10">
        <v>18</v>
      </c>
      <c r="B31" s="113" t="s">
        <v>59</v>
      </c>
      <c r="C31" s="113"/>
      <c r="D31" s="113"/>
      <c r="E31" s="70"/>
      <c r="F31" s="70"/>
      <c r="G31" s="70"/>
      <c r="H31" s="70" t="s">
        <v>36</v>
      </c>
      <c r="I31" s="71"/>
      <c r="J31" s="11"/>
      <c r="K31" s="11"/>
      <c r="L31" s="11"/>
      <c r="M31" s="11"/>
      <c r="N31" s="12"/>
      <c r="O31" s="10"/>
      <c r="P31" s="11"/>
      <c r="Q31" s="10"/>
      <c r="R31" s="11"/>
      <c r="S31" s="11"/>
      <c r="T31" s="10"/>
      <c r="U31" s="10"/>
      <c r="V31" s="22"/>
      <c r="W31" s="10"/>
      <c r="X31" s="10"/>
      <c r="Y31" s="10"/>
    </row>
    <row r="32" spans="1:25" ht="36.75" customHeight="1">
      <c r="A32" s="10">
        <v>19</v>
      </c>
      <c r="B32" s="113" t="s">
        <v>59</v>
      </c>
      <c r="C32" s="113"/>
      <c r="D32" s="113"/>
      <c r="E32" s="70"/>
      <c r="F32" s="70"/>
      <c r="G32" s="70"/>
      <c r="H32" s="70" t="s">
        <v>36</v>
      </c>
      <c r="I32" s="71"/>
      <c r="J32" s="11"/>
      <c r="K32" s="11"/>
      <c r="L32" s="11"/>
      <c r="M32" s="11"/>
      <c r="N32" s="12"/>
      <c r="O32" s="10"/>
      <c r="P32" s="11"/>
      <c r="Q32" s="10"/>
      <c r="R32" s="11"/>
      <c r="S32" s="11"/>
      <c r="T32" s="10"/>
      <c r="U32" s="10"/>
      <c r="V32" s="22"/>
      <c r="W32" s="10"/>
      <c r="X32" s="10"/>
      <c r="Y32" s="10"/>
    </row>
    <row r="33" spans="1:25" ht="36.75" customHeight="1">
      <c r="A33" s="10">
        <v>20</v>
      </c>
      <c r="B33" s="113" t="s">
        <v>59</v>
      </c>
      <c r="C33" s="113"/>
      <c r="D33" s="113"/>
      <c r="E33" s="70"/>
      <c r="F33" s="70"/>
      <c r="G33" s="70"/>
      <c r="H33" s="70" t="s">
        <v>36</v>
      </c>
      <c r="I33" s="71"/>
      <c r="J33" s="11"/>
      <c r="K33" s="11"/>
      <c r="L33" s="11"/>
      <c r="M33" s="11"/>
      <c r="N33" s="12"/>
      <c r="O33" s="10"/>
      <c r="P33" s="11"/>
      <c r="Q33" s="10"/>
      <c r="R33" s="11"/>
      <c r="S33" s="11"/>
      <c r="T33" s="10"/>
      <c r="U33" s="10"/>
      <c r="V33" s="22"/>
      <c r="W33" s="10"/>
      <c r="X33" s="10"/>
      <c r="Y33" s="10"/>
    </row>
    <row r="34" spans="1:25" ht="36.75" customHeight="1">
      <c r="A34" s="10">
        <v>21</v>
      </c>
      <c r="B34" s="113" t="s">
        <v>59</v>
      </c>
      <c r="C34" s="113"/>
      <c r="D34" s="113"/>
      <c r="E34" s="70"/>
      <c r="F34" s="70"/>
      <c r="G34" s="70"/>
      <c r="H34" s="70" t="s">
        <v>36</v>
      </c>
      <c r="I34" s="71"/>
      <c r="J34" s="11"/>
      <c r="K34" s="11"/>
      <c r="L34" s="11"/>
      <c r="M34" s="11"/>
      <c r="N34" s="12"/>
      <c r="O34" s="10"/>
      <c r="P34" s="11"/>
      <c r="Q34" s="10"/>
      <c r="R34" s="11"/>
      <c r="S34" s="11"/>
      <c r="T34" s="10"/>
      <c r="U34" s="10"/>
      <c r="V34" s="22"/>
      <c r="W34" s="10"/>
      <c r="X34" s="10"/>
      <c r="Y34" s="10"/>
    </row>
    <row r="35" spans="1:25" ht="36.75" customHeight="1">
      <c r="A35" s="10">
        <v>22</v>
      </c>
      <c r="B35" s="113" t="s">
        <v>59</v>
      </c>
      <c r="C35" s="113"/>
      <c r="D35" s="113"/>
      <c r="E35" s="70"/>
      <c r="F35" s="70"/>
      <c r="G35" s="70"/>
      <c r="H35" s="70" t="s">
        <v>36</v>
      </c>
      <c r="I35" s="71"/>
      <c r="J35" s="11"/>
      <c r="K35" s="11"/>
      <c r="L35" s="11"/>
      <c r="M35" s="11"/>
      <c r="N35" s="12"/>
      <c r="O35" s="10"/>
      <c r="P35" s="11"/>
      <c r="Q35" s="10"/>
      <c r="R35" s="11"/>
      <c r="S35" s="11"/>
      <c r="T35" s="10"/>
      <c r="U35" s="10"/>
      <c r="V35" s="22"/>
      <c r="W35" s="10"/>
      <c r="X35" s="10"/>
      <c r="Y35" s="10"/>
    </row>
    <row r="36" spans="1:25" ht="36.75" customHeight="1">
      <c r="A36" s="10">
        <v>23</v>
      </c>
      <c r="B36" s="113" t="s">
        <v>59</v>
      </c>
      <c r="C36" s="113"/>
      <c r="D36" s="113"/>
      <c r="E36" s="70"/>
      <c r="F36" s="70"/>
      <c r="G36" s="70"/>
      <c r="H36" s="70" t="s">
        <v>36</v>
      </c>
      <c r="I36" s="71"/>
      <c r="J36" s="11"/>
      <c r="K36" s="11"/>
      <c r="L36" s="11"/>
      <c r="M36" s="11"/>
      <c r="N36" s="12"/>
      <c r="O36" s="10"/>
      <c r="P36" s="11"/>
      <c r="Q36" s="10"/>
      <c r="R36" s="11"/>
      <c r="S36" s="11"/>
      <c r="T36" s="10"/>
      <c r="U36" s="10"/>
      <c r="V36" s="22"/>
      <c r="W36" s="10"/>
      <c r="X36" s="10"/>
      <c r="Y36" s="10"/>
    </row>
    <row r="37" spans="1:25" ht="36.75" customHeight="1">
      <c r="A37" s="10">
        <v>24</v>
      </c>
      <c r="B37" s="113" t="s">
        <v>59</v>
      </c>
      <c r="C37" s="113"/>
      <c r="D37" s="113"/>
      <c r="E37" s="70"/>
      <c r="F37" s="70"/>
      <c r="G37" s="70"/>
      <c r="H37" s="70" t="s">
        <v>36</v>
      </c>
      <c r="I37" s="71"/>
      <c r="J37" s="11"/>
      <c r="K37" s="11"/>
      <c r="L37" s="11"/>
      <c r="M37" s="11"/>
      <c r="N37" s="12"/>
      <c r="O37" s="10"/>
      <c r="P37" s="11"/>
      <c r="Q37" s="10"/>
      <c r="R37" s="11"/>
      <c r="S37" s="11"/>
      <c r="T37" s="10"/>
      <c r="U37" s="10"/>
      <c r="V37" s="22"/>
      <c r="W37" s="10"/>
      <c r="X37" s="10"/>
      <c r="Y37" s="10"/>
    </row>
    <row r="38" spans="1:25" ht="36.75" customHeight="1">
      <c r="A38" s="10">
        <v>25</v>
      </c>
      <c r="B38" s="113" t="s">
        <v>59</v>
      </c>
      <c r="C38" s="113"/>
      <c r="D38" s="113"/>
      <c r="E38" s="70"/>
      <c r="F38" s="70"/>
      <c r="G38" s="70"/>
      <c r="H38" s="70" t="s">
        <v>36</v>
      </c>
      <c r="I38" s="71"/>
      <c r="J38" s="11"/>
      <c r="K38" s="11"/>
      <c r="L38" s="11"/>
      <c r="M38" s="11"/>
      <c r="N38" s="12"/>
      <c r="O38" s="10"/>
      <c r="P38" s="11"/>
      <c r="Q38" s="10"/>
      <c r="R38" s="11"/>
      <c r="S38" s="11"/>
      <c r="T38" s="10"/>
      <c r="U38" s="10"/>
      <c r="V38" s="22"/>
      <c r="W38" s="10"/>
      <c r="X38" s="10"/>
      <c r="Y38" s="10"/>
    </row>
    <row r="39" spans="1:25" ht="36.75" customHeight="1">
      <c r="A39" s="10">
        <v>26</v>
      </c>
      <c r="B39" s="113" t="s">
        <v>59</v>
      </c>
      <c r="C39" s="113"/>
      <c r="D39" s="113"/>
      <c r="E39" s="70"/>
      <c r="F39" s="70"/>
      <c r="G39" s="70"/>
      <c r="H39" s="70" t="s">
        <v>36</v>
      </c>
      <c r="I39" s="71"/>
      <c r="J39" s="11"/>
      <c r="K39" s="11"/>
      <c r="L39" s="11"/>
      <c r="M39" s="11"/>
      <c r="N39" s="12"/>
      <c r="O39" s="10"/>
      <c r="P39" s="11"/>
      <c r="Q39" s="10"/>
      <c r="R39" s="11"/>
      <c r="S39" s="11"/>
      <c r="T39" s="10"/>
      <c r="U39" s="10"/>
      <c r="V39" s="22"/>
      <c r="W39" s="10"/>
      <c r="X39" s="10"/>
      <c r="Y39" s="10"/>
    </row>
    <row r="40" spans="1:25" ht="36.75" customHeight="1">
      <c r="A40" s="10">
        <v>27</v>
      </c>
      <c r="B40" s="113" t="s">
        <v>59</v>
      </c>
      <c r="C40" s="113"/>
      <c r="D40" s="113"/>
      <c r="E40" s="70"/>
      <c r="F40" s="70"/>
      <c r="G40" s="70"/>
      <c r="H40" s="70" t="s">
        <v>36</v>
      </c>
      <c r="I40" s="71"/>
      <c r="J40" s="11"/>
      <c r="K40" s="11"/>
      <c r="L40" s="11"/>
      <c r="M40" s="11"/>
      <c r="N40" s="12"/>
      <c r="O40" s="10"/>
      <c r="P40" s="11"/>
      <c r="Q40" s="10"/>
      <c r="R40" s="11"/>
      <c r="S40" s="11"/>
      <c r="T40" s="10"/>
      <c r="U40" s="10"/>
      <c r="V40" s="22"/>
      <c r="W40" s="10"/>
      <c r="X40" s="10"/>
      <c r="Y40" s="10"/>
    </row>
    <row r="41" spans="1:25" ht="36.75" customHeight="1">
      <c r="A41" s="10">
        <v>28</v>
      </c>
      <c r="B41" s="113" t="s">
        <v>59</v>
      </c>
      <c r="C41" s="113"/>
      <c r="D41" s="113"/>
      <c r="E41" s="70"/>
      <c r="F41" s="70"/>
      <c r="G41" s="70"/>
      <c r="H41" s="70" t="s">
        <v>36</v>
      </c>
      <c r="I41" s="71"/>
      <c r="J41" s="11"/>
      <c r="K41" s="11"/>
      <c r="L41" s="11"/>
      <c r="M41" s="11"/>
      <c r="N41" s="12"/>
      <c r="O41" s="10"/>
      <c r="P41" s="11"/>
      <c r="Q41" s="10"/>
      <c r="R41" s="11"/>
      <c r="S41" s="11"/>
      <c r="T41" s="10"/>
      <c r="U41" s="10"/>
      <c r="V41" s="22"/>
      <c r="W41" s="10"/>
      <c r="X41" s="10"/>
      <c r="Y41" s="10"/>
    </row>
    <row r="42" spans="1:25" ht="36.75" customHeight="1">
      <c r="A42" s="10">
        <v>29</v>
      </c>
      <c r="B42" s="113" t="s">
        <v>59</v>
      </c>
      <c r="C42" s="113"/>
      <c r="D42" s="113"/>
      <c r="E42" s="70"/>
      <c r="F42" s="70"/>
      <c r="G42" s="70"/>
      <c r="H42" s="70" t="s">
        <v>36</v>
      </c>
      <c r="I42" s="71"/>
      <c r="J42" s="11"/>
      <c r="K42" s="11"/>
      <c r="L42" s="11"/>
      <c r="M42" s="11"/>
      <c r="N42" s="12"/>
      <c r="O42" s="10"/>
      <c r="P42" s="11"/>
      <c r="Q42" s="10"/>
      <c r="R42" s="11"/>
      <c r="S42" s="11"/>
      <c r="T42" s="10"/>
      <c r="U42" s="10"/>
      <c r="V42" s="22"/>
      <c r="W42" s="10"/>
      <c r="X42" s="10"/>
      <c r="Y42" s="10"/>
    </row>
    <row r="43" spans="1:25" ht="36.75" customHeight="1">
      <c r="A43" s="10">
        <v>30</v>
      </c>
      <c r="B43" s="113" t="s">
        <v>59</v>
      </c>
      <c r="C43" s="113"/>
      <c r="D43" s="113"/>
      <c r="E43" s="70"/>
      <c r="F43" s="70"/>
      <c r="G43" s="70"/>
      <c r="H43" s="70" t="s">
        <v>36</v>
      </c>
      <c r="I43" s="71"/>
      <c r="J43" s="11"/>
      <c r="K43" s="11"/>
      <c r="L43" s="11"/>
      <c r="M43" s="11"/>
      <c r="N43" s="12"/>
      <c r="O43" s="10"/>
      <c r="P43" s="11"/>
      <c r="Q43" s="10"/>
      <c r="R43" s="11"/>
      <c r="S43" s="11"/>
      <c r="T43" s="10"/>
      <c r="U43" s="10"/>
      <c r="V43" s="22"/>
      <c r="W43" s="10"/>
      <c r="X43" s="10"/>
      <c r="Y43" s="10"/>
    </row>
    <row r="44" spans="1:25" ht="36.75" customHeight="1">
      <c r="A44" s="10">
        <v>31</v>
      </c>
      <c r="B44" s="113" t="s">
        <v>59</v>
      </c>
      <c r="C44" s="113"/>
      <c r="D44" s="113"/>
      <c r="E44" s="70"/>
      <c r="F44" s="70"/>
      <c r="G44" s="70"/>
      <c r="H44" s="70" t="s">
        <v>36</v>
      </c>
      <c r="I44" s="71"/>
      <c r="J44" s="11"/>
      <c r="K44" s="11"/>
      <c r="L44" s="11"/>
      <c r="M44" s="11"/>
      <c r="N44" s="12"/>
      <c r="O44" s="10"/>
      <c r="P44" s="11"/>
      <c r="Q44" s="10"/>
      <c r="R44" s="11"/>
      <c r="S44" s="11"/>
      <c r="T44" s="10"/>
      <c r="U44" s="10"/>
      <c r="V44" s="22"/>
      <c r="W44" s="10"/>
      <c r="X44" s="10"/>
      <c r="Y44" s="10"/>
    </row>
    <row r="45" spans="1:25" ht="36.75" customHeight="1">
      <c r="A45" s="10">
        <v>32</v>
      </c>
      <c r="B45" s="113" t="s">
        <v>59</v>
      </c>
      <c r="C45" s="113"/>
      <c r="D45" s="113"/>
      <c r="E45" s="70"/>
      <c r="F45" s="70"/>
      <c r="G45" s="70"/>
      <c r="H45" s="70" t="s">
        <v>36</v>
      </c>
      <c r="I45" s="71"/>
      <c r="J45" s="11"/>
      <c r="K45" s="11"/>
      <c r="L45" s="11"/>
      <c r="M45" s="11"/>
      <c r="N45" s="12"/>
      <c r="O45" s="10"/>
      <c r="P45" s="11"/>
      <c r="Q45" s="10"/>
      <c r="R45" s="11"/>
      <c r="S45" s="11"/>
      <c r="T45" s="10"/>
      <c r="U45" s="10"/>
      <c r="V45" s="22"/>
      <c r="W45" s="10"/>
      <c r="X45" s="10"/>
      <c r="Y45" s="10"/>
    </row>
    <row r="46" spans="1:25" ht="36.75" customHeight="1">
      <c r="A46" s="10">
        <v>33</v>
      </c>
      <c r="B46" s="113" t="s">
        <v>59</v>
      </c>
      <c r="C46" s="113"/>
      <c r="D46" s="113"/>
      <c r="E46" s="70"/>
      <c r="F46" s="70"/>
      <c r="G46" s="70"/>
      <c r="H46" s="70" t="s">
        <v>36</v>
      </c>
      <c r="I46" s="71"/>
      <c r="J46" s="11"/>
      <c r="K46" s="11"/>
      <c r="L46" s="11"/>
      <c r="M46" s="11"/>
      <c r="N46" s="12"/>
      <c r="O46" s="10"/>
      <c r="P46" s="11"/>
      <c r="Q46" s="10"/>
      <c r="R46" s="11"/>
      <c r="S46" s="11"/>
      <c r="T46" s="10"/>
      <c r="U46" s="10"/>
      <c r="V46" s="22"/>
      <c r="W46" s="10"/>
      <c r="X46" s="10"/>
      <c r="Y46" s="10"/>
    </row>
    <row r="47" spans="1:25" ht="36.75" customHeight="1">
      <c r="A47" s="10">
        <v>34</v>
      </c>
      <c r="B47" s="113" t="s">
        <v>59</v>
      </c>
      <c r="C47" s="113"/>
      <c r="D47" s="113"/>
      <c r="E47" s="70"/>
      <c r="F47" s="70"/>
      <c r="G47" s="70"/>
      <c r="H47" s="70" t="s">
        <v>36</v>
      </c>
      <c r="I47" s="71"/>
      <c r="J47" s="11"/>
      <c r="K47" s="11"/>
      <c r="L47" s="11"/>
      <c r="M47" s="11"/>
      <c r="N47" s="12"/>
      <c r="O47" s="10"/>
      <c r="P47" s="11"/>
      <c r="Q47" s="10"/>
      <c r="R47" s="11"/>
      <c r="S47" s="11"/>
      <c r="T47" s="10"/>
      <c r="U47" s="10"/>
      <c r="V47" s="22"/>
      <c r="W47" s="10"/>
      <c r="X47" s="10"/>
      <c r="Y47" s="10"/>
    </row>
    <row r="48" spans="1:25" ht="36.75" customHeight="1">
      <c r="A48" s="10">
        <v>35</v>
      </c>
      <c r="B48" s="113" t="s">
        <v>59</v>
      </c>
      <c r="C48" s="113"/>
      <c r="D48" s="113"/>
      <c r="E48" s="70"/>
      <c r="F48" s="70"/>
      <c r="G48" s="70"/>
      <c r="H48" s="70" t="s">
        <v>36</v>
      </c>
      <c r="I48" s="71"/>
      <c r="J48" s="11"/>
      <c r="K48" s="11"/>
      <c r="L48" s="11"/>
      <c r="M48" s="11"/>
      <c r="N48" s="12"/>
      <c r="O48" s="10"/>
      <c r="P48" s="11"/>
      <c r="Q48" s="10"/>
      <c r="R48" s="11"/>
      <c r="S48" s="11"/>
      <c r="T48" s="10"/>
      <c r="U48" s="10"/>
      <c r="V48" s="22"/>
      <c r="W48" s="10"/>
      <c r="X48" s="10"/>
      <c r="Y48" s="10"/>
    </row>
    <row r="49" spans="1:25" ht="63.75" customHeight="1">
      <c r="A49" s="72" t="s">
        <v>61</v>
      </c>
      <c r="B49" s="72"/>
      <c r="C49" s="72"/>
      <c r="D49" s="72"/>
      <c r="E49" s="72"/>
      <c r="F49" s="72"/>
      <c r="G49" s="72"/>
      <c r="H49" s="72"/>
      <c r="I49" s="72"/>
      <c r="J49" s="14" t="s">
        <v>6</v>
      </c>
      <c r="K49" s="14" t="s">
        <v>6</v>
      </c>
      <c r="L49" s="14" t="s">
        <v>6</v>
      </c>
      <c r="M49" s="14" t="s">
        <v>6</v>
      </c>
      <c r="N49" s="13" t="s">
        <v>14</v>
      </c>
      <c r="O49" s="14" t="s">
        <v>5</v>
      </c>
      <c r="P49" s="14" t="s">
        <v>29</v>
      </c>
      <c r="Q49" s="14" t="s">
        <v>3</v>
      </c>
      <c r="R49" s="78" t="s">
        <v>28</v>
      </c>
      <c r="S49" s="79"/>
      <c r="T49" s="13" t="s">
        <v>20</v>
      </c>
      <c r="U49" s="14" t="s">
        <v>22</v>
      </c>
      <c r="V49" s="13" t="s">
        <v>27</v>
      </c>
      <c r="W49" s="14" t="s">
        <v>24</v>
      </c>
      <c r="X49" s="14" t="s">
        <v>4</v>
      </c>
      <c r="Y49" s="73"/>
    </row>
    <row r="50" spans="1:25" s="6" customFormat="1" ht="26.25" customHeight="1">
      <c r="A50" s="75" t="s">
        <v>62</v>
      </c>
      <c r="B50" s="75"/>
      <c r="C50" s="75"/>
      <c r="D50" s="75"/>
      <c r="E50" s="75"/>
      <c r="F50" s="75"/>
      <c r="G50" s="75"/>
      <c r="H50" s="75"/>
      <c r="I50" s="75"/>
      <c r="J50" s="15">
        <v>46392</v>
      </c>
      <c r="K50" s="15">
        <v>46392</v>
      </c>
      <c r="L50" s="15">
        <v>46392</v>
      </c>
      <c r="M50" s="15">
        <v>46392</v>
      </c>
      <c r="N50" s="7" t="s">
        <v>45</v>
      </c>
      <c r="O50" s="7" t="s">
        <v>45</v>
      </c>
      <c r="P50" s="15">
        <v>46392</v>
      </c>
      <c r="Q50" s="15">
        <v>46392</v>
      </c>
      <c r="R50" s="76">
        <v>46392</v>
      </c>
      <c r="S50" s="77"/>
      <c r="T50" s="7" t="s">
        <v>45</v>
      </c>
      <c r="U50" s="15">
        <v>46392</v>
      </c>
      <c r="V50" s="23">
        <v>46392</v>
      </c>
      <c r="W50" s="15">
        <v>46392</v>
      </c>
      <c r="X50" s="15">
        <v>46392</v>
      </c>
      <c r="Y50" s="74"/>
    </row>
    <row r="51" spans="1:25" ht="45" customHeight="1">
      <c r="A51" s="46" t="s">
        <v>23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8"/>
    </row>
    <row r="52" spans="1:25" s="19" customFormat="1" ht="18" customHeight="1">
      <c r="A52" s="18" t="s">
        <v>30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s="20" customFormat="1" ht="33.75" customHeight="1">
      <c r="A53" s="111" t="s">
        <v>60</v>
      </c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 t="s">
        <v>63</v>
      </c>
      <c r="V53" s="111"/>
      <c r="W53" s="111"/>
      <c r="X53" s="111"/>
      <c r="Y53" s="111"/>
    </row>
  </sheetData>
  <mergeCells count="149">
    <mergeCell ref="A53:T53"/>
    <mergeCell ref="U53:Y53"/>
    <mergeCell ref="A7:C7"/>
    <mergeCell ref="D7:H7"/>
    <mergeCell ref="A51:Y51"/>
    <mergeCell ref="J13:M13"/>
    <mergeCell ref="N13:X13"/>
    <mergeCell ref="U11:U12"/>
    <mergeCell ref="V11:V12"/>
    <mergeCell ref="W11:W12"/>
    <mergeCell ref="X11:X12"/>
    <mergeCell ref="J11:J12"/>
    <mergeCell ref="K11:K12"/>
    <mergeCell ref="L11:L12"/>
    <mergeCell ref="M11:M12"/>
    <mergeCell ref="B46:D46"/>
    <mergeCell ref="E46:G46"/>
    <mergeCell ref="H46:I46"/>
    <mergeCell ref="B43:D43"/>
    <mergeCell ref="E43:G43"/>
    <mergeCell ref="H43:I43"/>
    <mergeCell ref="B44:D44"/>
    <mergeCell ref="E44:G44"/>
    <mergeCell ref="H44:I44"/>
    <mergeCell ref="B45:D45"/>
    <mergeCell ref="E45:G45"/>
    <mergeCell ref="H45:I45"/>
    <mergeCell ref="B41:D41"/>
    <mergeCell ref="E41:G41"/>
    <mergeCell ref="H41:I41"/>
    <mergeCell ref="B42:D42"/>
    <mergeCell ref="E42:G42"/>
    <mergeCell ref="H42:I42"/>
    <mergeCell ref="A49:I49"/>
    <mergeCell ref="Y49:Y50"/>
    <mergeCell ref="A50:I50"/>
    <mergeCell ref="R49:S49"/>
    <mergeCell ref="R50:S50"/>
    <mergeCell ref="B48:D48"/>
    <mergeCell ref="E48:G48"/>
    <mergeCell ref="H48:I48"/>
    <mergeCell ref="B47:D47"/>
    <mergeCell ref="E47:G47"/>
    <mergeCell ref="H47:I47"/>
    <mergeCell ref="B38:D38"/>
    <mergeCell ref="E38:G38"/>
    <mergeCell ref="H38:I38"/>
    <mergeCell ref="B39:D39"/>
    <mergeCell ref="E39:G39"/>
    <mergeCell ref="H39:I39"/>
    <mergeCell ref="B40:D40"/>
    <mergeCell ref="E40:G40"/>
    <mergeCell ref="H40:I40"/>
    <mergeCell ref="B35:D35"/>
    <mergeCell ref="E35:G35"/>
    <mergeCell ref="H35:I35"/>
    <mergeCell ref="B36:D36"/>
    <mergeCell ref="E36:G36"/>
    <mergeCell ref="H36:I36"/>
    <mergeCell ref="B37:D37"/>
    <mergeCell ref="E37:G37"/>
    <mergeCell ref="H37:I37"/>
    <mergeCell ref="B32:D32"/>
    <mergeCell ref="E32:G32"/>
    <mergeCell ref="H32:I32"/>
    <mergeCell ref="B33:D33"/>
    <mergeCell ref="E33:G33"/>
    <mergeCell ref="H33:I33"/>
    <mergeCell ref="B34:D34"/>
    <mergeCell ref="E34:G34"/>
    <mergeCell ref="H34:I34"/>
    <mergeCell ref="B29:D29"/>
    <mergeCell ref="E29:G29"/>
    <mergeCell ref="H29:I29"/>
    <mergeCell ref="B30:D30"/>
    <mergeCell ref="E30:G30"/>
    <mergeCell ref="H30:I30"/>
    <mergeCell ref="B31:D31"/>
    <mergeCell ref="E31:G31"/>
    <mergeCell ref="H31:I31"/>
    <mergeCell ref="B26:D26"/>
    <mergeCell ref="E26:G26"/>
    <mergeCell ref="H26:I26"/>
    <mergeCell ref="B27:D27"/>
    <mergeCell ref="E27:G27"/>
    <mergeCell ref="H27:I27"/>
    <mergeCell ref="B28:D28"/>
    <mergeCell ref="E28:G28"/>
    <mergeCell ref="H28:I28"/>
    <mergeCell ref="B23:D23"/>
    <mergeCell ref="E23:G23"/>
    <mergeCell ref="H23:I23"/>
    <mergeCell ref="B24:D24"/>
    <mergeCell ref="E24:G24"/>
    <mergeCell ref="H24:I24"/>
    <mergeCell ref="B25:D25"/>
    <mergeCell ref="E25:G25"/>
    <mergeCell ref="H25:I25"/>
    <mergeCell ref="B20:D20"/>
    <mergeCell ref="E20:G20"/>
    <mergeCell ref="H20:I20"/>
    <mergeCell ref="B21:D21"/>
    <mergeCell ref="E21:G21"/>
    <mergeCell ref="H21:I21"/>
    <mergeCell ref="B22:D22"/>
    <mergeCell ref="E22:G22"/>
    <mergeCell ref="H22:I22"/>
    <mergeCell ref="B17:D17"/>
    <mergeCell ref="E17:G17"/>
    <mergeCell ref="H17:I17"/>
    <mergeCell ref="B18:D18"/>
    <mergeCell ref="E18:G18"/>
    <mergeCell ref="H18:I18"/>
    <mergeCell ref="B19:D19"/>
    <mergeCell ref="E19:G19"/>
    <mergeCell ref="H19:I19"/>
    <mergeCell ref="B14:D14"/>
    <mergeCell ref="E14:G14"/>
    <mergeCell ref="H14:I14"/>
    <mergeCell ref="B15:D15"/>
    <mergeCell ref="E15:G15"/>
    <mergeCell ref="H15:I15"/>
    <mergeCell ref="B16:D16"/>
    <mergeCell ref="E16:G16"/>
    <mergeCell ref="H16:I16"/>
    <mergeCell ref="J8:Y8"/>
    <mergeCell ref="B8:I13"/>
    <mergeCell ref="A8:A13"/>
    <mergeCell ref="A1:Y2"/>
    <mergeCell ref="A3:U3"/>
    <mergeCell ref="V3:Y3"/>
    <mergeCell ref="P4:Y5"/>
    <mergeCell ref="P6:Y6"/>
    <mergeCell ref="P7:Y7"/>
    <mergeCell ref="A4:L4"/>
    <mergeCell ref="A5:L5"/>
    <mergeCell ref="A6:L6"/>
    <mergeCell ref="I7:L7"/>
    <mergeCell ref="J9:U9"/>
    <mergeCell ref="V9:X9"/>
    <mergeCell ref="Y9:Y13"/>
    <mergeCell ref="O10:X10"/>
    <mergeCell ref="J10:M10"/>
    <mergeCell ref="N11:N12"/>
    <mergeCell ref="T11:T12"/>
    <mergeCell ref="Q11:Q12"/>
    <mergeCell ref="O11:O12"/>
    <mergeCell ref="R11:S11"/>
    <mergeCell ref="P11:P12"/>
  </mergeCells>
  <phoneticPr fontId="4" type="noConversion"/>
  <conditionalFormatting sqref="N14:Q48 T14:T48 V14:Y48">
    <cfRule type="containsText" dxfId="2" priority="2" operator="containsText" text="NG">
      <formula>NOT(ISERROR(SEARCH("NG",N14)))</formula>
    </cfRule>
  </conditionalFormatting>
  <dataValidations count="1">
    <dataValidation type="list" allowBlank="1" showInputMessage="1" showErrorMessage="1" sqref="V14:Y48 T14:T48 N14:Q48" xr:uid="{DCC6BDDF-EDF7-4AF1-9CD5-A8EF818B4500}">
      <formula1>"OK,NG"</formula1>
    </dataValidation>
  </dataValidations>
  <printOptions horizontalCentered="1"/>
  <pageMargins left="0" right="0" top="0.59055118110236227" bottom="0" header="0" footer="0"/>
  <pageSetup paperSize="9" scale="4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B5FB2-6AD2-4812-89D4-1AE616FF6365}">
  <sheetPr>
    <pageSetUpPr fitToPage="1"/>
  </sheetPr>
  <dimension ref="A1:AE53"/>
  <sheetViews>
    <sheetView view="pageBreakPreview" zoomScale="70" zoomScaleNormal="75" zoomScaleSheetLayoutView="70" workbookViewId="0">
      <selection activeCell="W11" sqref="W11:W12"/>
    </sheetView>
  </sheetViews>
  <sheetFormatPr defaultColWidth="9" defaultRowHeight="17.600000000000001"/>
  <cols>
    <col min="1" max="1" width="9" customWidth="1"/>
    <col min="2" max="4" width="3.5" customWidth="1"/>
    <col min="5" max="7" width="3.35546875" customWidth="1"/>
    <col min="8" max="9" width="6.7109375" customWidth="1"/>
    <col min="10" max="13" width="12.35546875" customWidth="1"/>
    <col min="14" max="15" width="10.5" customWidth="1"/>
    <col min="16" max="16" width="10.35546875" customWidth="1"/>
    <col min="17" max="17" width="10" bestFit="1" customWidth="1"/>
    <col min="18" max="19" width="9.5" customWidth="1"/>
    <col min="21" max="21" width="10" bestFit="1" customWidth="1"/>
    <col min="22" max="22" width="17.640625" customWidth="1"/>
    <col min="23" max="23" width="11.640625" customWidth="1"/>
    <col min="24" max="24" width="10" bestFit="1" customWidth="1"/>
  </cols>
  <sheetData>
    <row r="1" spans="1:31" ht="37.5" customHeight="1">
      <c r="A1" s="35" t="s">
        <v>54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7"/>
      <c r="W1" s="37"/>
      <c r="X1" s="37"/>
      <c r="Y1" s="37"/>
    </row>
    <row r="2" spans="1:31" ht="37.5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7"/>
      <c r="W2" s="37"/>
      <c r="X2" s="37"/>
      <c r="Y2" s="37"/>
    </row>
    <row r="3" spans="1:31" ht="37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 t="s">
        <v>43</v>
      </c>
      <c r="W3" s="39"/>
      <c r="X3" s="39"/>
      <c r="Y3" s="39"/>
    </row>
    <row r="4" spans="1:31" s="1" customFormat="1" ht="29.25" customHeight="1">
      <c r="A4" s="49" t="s">
        <v>41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1"/>
      <c r="M4" s="7" t="s">
        <v>12</v>
      </c>
      <c r="N4" s="7" t="s">
        <v>13</v>
      </c>
      <c r="O4" s="7" t="s">
        <v>10</v>
      </c>
      <c r="P4" s="90"/>
      <c r="Q4" s="91"/>
      <c r="R4" s="91"/>
      <c r="S4" s="91"/>
      <c r="T4" s="91"/>
      <c r="U4" s="91"/>
      <c r="V4" s="91"/>
      <c r="W4" s="91"/>
      <c r="X4" s="91"/>
      <c r="Y4" s="92"/>
    </row>
    <row r="5" spans="1:31" s="1" customFormat="1" ht="45" customHeight="1">
      <c r="A5" s="52" t="s">
        <v>56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1"/>
      <c r="M5" s="7" t="s">
        <v>16</v>
      </c>
      <c r="N5" s="7" t="s">
        <v>18</v>
      </c>
      <c r="O5" s="7" t="s">
        <v>31</v>
      </c>
      <c r="P5" s="93"/>
      <c r="Q5" s="94"/>
      <c r="R5" s="94"/>
      <c r="S5" s="94"/>
      <c r="T5" s="94"/>
      <c r="U5" s="94"/>
      <c r="V5" s="94"/>
      <c r="W5" s="94"/>
      <c r="X5" s="94"/>
      <c r="Y5" s="95"/>
    </row>
    <row r="6" spans="1:31" s="1" customFormat="1" ht="29.25" customHeight="1">
      <c r="A6" s="49" t="s">
        <v>37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1"/>
      <c r="M6" s="7" t="s">
        <v>1</v>
      </c>
      <c r="N6" s="7" t="s">
        <v>11</v>
      </c>
      <c r="O6" s="7">
        <v>1.5</v>
      </c>
      <c r="P6" s="93"/>
      <c r="Q6" s="94"/>
      <c r="R6" s="94"/>
      <c r="S6" s="94"/>
      <c r="T6" s="94"/>
      <c r="U6" s="94"/>
      <c r="V6" s="94"/>
      <c r="W6" s="94"/>
      <c r="X6" s="94"/>
      <c r="Y6" s="95"/>
      <c r="AE6"/>
    </row>
    <row r="7" spans="1:31" s="1" customFormat="1" ht="33" customHeight="1">
      <c r="A7" s="52" t="s">
        <v>46</v>
      </c>
      <c r="B7" s="86"/>
      <c r="C7" s="86"/>
      <c r="D7" s="87">
        <v>46260</v>
      </c>
      <c r="E7" s="88"/>
      <c r="F7" s="88"/>
      <c r="G7" s="88"/>
      <c r="H7" s="89"/>
      <c r="I7" s="53">
        <v>100</v>
      </c>
      <c r="J7" s="54"/>
      <c r="K7" s="54"/>
      <c r="L7" s="55"/>
      <c r="M7" s="7" t="s">
        <v>0</v>
      </c>
      <c r="N7" s="7" t="s">
        <v>18</v>
      </c>
      <c r="O7" s="7" t="s">
        <v>31</v>
      </c>
      <c r="P7" s="96"/>
      <c r="Q7" s="97"/>
      <c r="R7" s="97"/>
      <c r="S7" s="97"/>
      <c r="T7" s="97"/>
      <c r="U7" s="97"/>
      <c r="V7" s="97"/>
      <c r="W7" s="97"/>
      <c r="X7" s="97"/>
      <c r="Y7" s="98"/>
    </row>
    <row r="8" spans="1:31" ht="22.5" customHeight="1">
      <c r="A8" s="34" t="s">
        <v>35</v>
      </c>
      <c r="B8" s="28" t="s">
        <v>2</v>
      </c>
      <c r="C8" s="28"/>
      <c r="D8" s="28"/>
      <c r="E8" s="28"/>
      <c r="F8" s="28"/>
      <c r="G8" s="28"/>
      <c r="H8" s="28"/>
      <c r="I8" s="29"/>
      <c r="J8" s="99" t="s">
        <v>12</v>
      </c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1"/>
      <c r="W8" s="101"/>
      <c r="X8" s="101"/>
      <c r="Y8" s="102"/>
    </row>
    <row r="9" spans="1:31" ht="17.899999999999999" customHeight="1">
      <c r="A9" s="34"/>
      <c r="B9" s="30"/>
      <c r="C9" s="30"/>
      <c r="D9" s="30"/>
      <c r="E9" s="30"/>
      <c r="F9" s="30"/>
      <c r="G9" s="30"/>
      <c r="H9" s="30"/>
      <c r="I9" s="30"/>
      <c r="J9" s="103" t="s">
        <v>39</v>
      </c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4" t="s">
        <v>40</v>
      </c>
      <c r="W9" s="104"/>
      <c r="X9" s="104"/>
      <c r="Y9" s="105" t="s">
        <v>15</v>
      </c>
    </row>
    <row r="10" spans="1:31" ht="17.899999999999999" customHeight="1">
      <c r="A10" s="34"/>
      <c r="B10" s="30"/>
      <c r="C10" s="30"/>
      <c r="D10" s="30"/>
      <c r="E10" s="30"/>
      <c r="F10" s="30"/>
      <c r="G10" s="30"/>
      <c r="H10" s="30"/>
      <c r="I10" s="31"/>
      <c r="J10" s="59" t="s">
        <v>1</v>
      </c>
      <c r="K10" s="59"/>
      <c r="L10" s="59"/>
      <c r="M10" s="59"/>
      <c r="N10" s="9" t="s">
        <v>16</v>
      </c>
      <c r="O10" s="108" t="s">
        <v>38</v>
      </c>
      <c r="P10" s="109"/>
      <c r="Q10" s="109"/>
      <c r="R10" s="109"/>
      <c r="S10" s="109"/>
      <c r="T10" s="109"/>
      <c r="U10" s="109"/>
      <c r="V10" s="110"/>
      <c r="W10" s="110"/>
      <c r="X10" s="110"/>
      <c r="Y10" s="106"/>
    </row>
    <row r="11" spans="1:31" ht="152.25" customHeight="1">
      <c r="A11" s="34"/>
      <c r="B11" s="30"/>
      <c r="C11" s="30"/>
      <c r="D11" s="30"/>
      <c r="E11" s="30"/>
      <c r="F11" s="30"/>
      <c r="G11" s="30"/>
      <c r="H11" s="30"/>
      <c r="I11" s="31"/>
      <c r="J11" s="64" t="s">
        <v>47</v>
      </c>
      <c r="K11" s="64" t="s">
        <v>48</v>
      </c>
      <c r="L11" s="64" t="s">
        <v>49</v>
      </c>
      <c r="M11" s="64" t="s">
        <v>50</v>
      </c>
      <c r="N11" s="64" t="s">
        <v>16</v>
      </c>
      <c r="O11" s="64" t="s">
        <v>25</v>
      </c>
      <c r="P11" s="68" t="s">
        <v>26</v>
      </c>
      <c r="Q11" s="64" t="s">
        <v>19</v>
      </c>
      <c r="R11" s="66" t="s">
        <v>34</v>
      </c>
      <c r="S11" s="67"/>
      <c r="T11" s="64" t="s">
        <v>9</v>
      </c>
      <c r="U11" s="68" t="s">
        <v>52</v>
      </c>
      <c r="V11" s="80" t="s">
        <v>55</v>
      </c>
      <c r="W11" s="68" t="s">
        <v>64</v>
      </c>
      <c r="X11" s="80" t="s">
        <v>44</v>
      </c>
      <c r="Y11" s="106"/>
    </row>
    <row r="12" spans="1:31" ht="41.25" customHeight="1">
      <c r="A12" s="34"/>
      <c r="B12" s="30"/>
      <c r="C12" s="30"/>
      <c r="D12" s="30"/>
      <c r="E12" s="30"/>
      <c r="F12" s="30"/>
      <c r="G12" s="30"/>
      <c r="H12" s="30"/>
      <c r="I12" s="31"/>
      <c r="J12" s="65"/>
      <c r="K12" s="65"/>
      <c r="L12" s="65"/>
      <c r="M12" s="65"/>
      <c r="N12" s="65"/>
      <c r="O12" s="65"/>
      <c r="P12" s="69"/>
      <c r="Q12" s="65"/>
      <c r="R12" s="21" t="s">
        <v>33</v>
      </c>
      <c r="S12" s="21" t="s">
        <v>32</v>
      </c>
      <c r="T12" s="65"/>
      <c r="U12" s="69"/>
      <c r="V12" s="81"/>
      <c r="W12" s="69"/>
      <c r="X12" s="81"/>
      <c r="Y12" s="106"/>
    </row>
    <row r="13" spans="1:31" s="2" customFormat="1" ht="27.75" customHeight="1">
      <c r="A13" s="34"/>
      <c r="B13" s="32"/>
      <c r="C13" s="32"/>
      <c r="D13" s="32"/>
      <c r="E13" s="32"/>
      <c r="F13" s="32"/>
      <c r="G13" s="32"/>
      <c r="H13" s="32"/>
      <c r="I13" s="33"/>
      <c r="J13" s="82">
        <f>MIN($I$7, _xlfn.IFS($I$7&lt;=8,2, $I$7&lt;=15,2, $I$7&lt;=25,3, $I$7&lt;=50,5, $I$7&lt;=90,5, $I$7&lt;=150,8, $I$7&lt;=280,13, $I$7&lt;=500,20, $I$7&lt;=1200,32, $I$7&lt;=3200,50, $I$7&lt;=10000,88, $I$7&lt;=35000,125, $I$7&lt;=150000,200, $I$7&lt;=500000,315, $I$7&gt;=500001,500))</f>
        <v>8</v>
      </c>
      <c r="K13" s="82"/>
      <c r="L13" s="82"/>
      <c r="M13" s="82"/>
      <c r="N13" s="83" t="s">
        <v>53</v>
      </c>
      <c r="O13" s="84"/>
      <c r="P13" s="84"/>
      <c r="Q13" s="84"/>
      <c r="R13" s="84"/>
      <c r="S13" s="84"/>
      <c r="T13" s="84"/>
      <c r="U13" s="84"/>
      <c r="V13" s="84"/>
      <c r="W13" s="84"/>
      <c r="X13" s="85"/>
      <c r="Y13" s="107"/>
    </row>
    <row r="14" spans="1:31" ht="36.75" customHeight="1">
      <c r="A14" s="10">
        <v>36</v>
      </c>
      <c r="B14" s="113" t="s">
        <v>59</v>
      </c>
      <c r="C14" s="113"/>
      <c r="D14" s="113"/>
      <c r="E14" s="70"/>
      <c r="F14" s="70"/>
      <c r="G14" s="70"/>
      <c r="H14" s="70" t="s">
        <v>36</v>
      </c>
      <c r="I14" s="71"/>
      <c r="J14" s="11"/>
      <c r="K14" s="11"/>
      <c r="L14" s="11"/>
      <c r="M14" s="11"/>
      <c r="N14" s="12"/>
      <c r="O14" s="10"/>
      <c r="P14" s="11"/>
      <c r="Q14" s="10"/>
      <c r="R14" s="11"/>
      <c r="S14" s="11"/>
      <c r="T14" s="10"/>
      <c r="U14" s="10"/>
      <c r="V14" s="22"/>
      <c r="W14" s="10"/>
      <c r="X14" s="10"/>
      <c r="Y14" s="10"/>
    </row>
    <row r="15" spans="1:31" ht="36.75" customHeight="1">
      <c r="A15" s="10">
        <v>37</v>
      </c>
      <c r="B15" s="113" t="s">
        <v>59</v>
      </c>
      <c r="C15" s="113"/>
      <c r="D15" s="113"/>
      <c r="E15" s="70"/>
      <c r="F15" s="70"/>
      <c r="G15" s="70"/>
      <c r="H15" s="70" t="s">
        <v>36</v>
      </c>
      <c r="I15" s="71"/>
      <c r="J15" s="11"/>
      <c r="K15" s="11"/>
      <c r="L15" s="11"/>
      <c r="M15" s="11"/>
      <c r="N15" s="12"/>
      <c r="O15" s="10"/>
      <c r="P15" s="11"/>
      <c r="Q15" s="10"/>
      <c r="R15" s="11"/>
      <c r="S15" s="11"/>
      <c r="T15" s="10"/>
      <c r="U15" s="10"/>
      <c r="V15" s="22"/>
      <c r="W15" s="10"/>
      <c r="X15" s="10"/>
      <c r="Y15" s="10"/>
    </row>
    <row r="16" spans="1:31" ht="36.75" customHeight="1">
      <c r="A16" s="10">
        <v>38</v>
      </c>
      <c r="B16" s="113" t="s">
        <v>59</v>
      </c>
      <c r="C16" s="113"/>
      <c r="D16" s="113"/>
      <c r="E16" s="70"/>
      <c r="F16" s="70"/>
      <c r="G16" s="70"/>
      <c r="H16" s="70" t="s">
        <v>36</v>
      </c>
      <c r="I16" s="71"/>
      <c r="J16" s="11"/>
      <c r="K16" s="11"/>
      <c r="L16" s="11"/>
      <c r="M16" s="11"/>
      <c r="N16" s="12"/>
      <c r="O16" s="10"/>
      <c r="P16" s="11"/>
      <c r="Q16" s="10"/>
      <c r="R16" s="11"/>
      <c r="S16" s="11"/>
      <c r="T16" s="10"/>
      <c r="U16" s="10"/>
      <c r="V16" s="22"/>
      <c r="W16" s="10"/>
      <c r="X16" s="10"/>
      <c r="Y16" s="10"/>
    </row>
    <row r="17" spans="1:25" ht="36.75" customHeight="1">
      <c r="A17" s="10">
        <v>39</v>
      </c>
      <c r="B17" s="113" t="s">
        <v>59</v>
      </c>
      <c r="C17" s="113"/>
      <c r="D17" s="113"/>
      <c r="E17" s="70"/>
      <c r="F17" s="70"/>
      <c r="G17" s="70"/>
      <c r="H17" s="70" t="s">
        <v>36</v>
      </c>
      <c r="I17" s="71"/>
      <c r="J17" s="11"/>
      <c r="K17" s="11"/>
      <c r="L17" s="11"/>
      <c r="M17" s="11"/>
      <c r="N17" s="12"/>
      <c r="O17" s="10"/>
      <c r="P17" s="11"/>
      <c r="Q17" s="10"/>
      <c r="R17" s="11"/>
      <c r="S17" s="11"/>
      <c r="T17" s="10"/>
      <c r="U17" s="10"/>
      <c r="V17" s="22"/>
      <c r="W17" s="10"/>
      <c r="X17" s="10"/>
      <c r="Y17" s="10"/>
    </row>
    <row r="18" spans="1:25" ht="36.75" customHeight="1">
      <c r="A18" s="10">
        <v>40</v>
      </c>
      <c r="B18" s="113" t="s">
        <v>59</v>
      </c>
      <c r="C18" s="113"/>
      <c r="D18" s="113"/>
      <c r="E18" s="70"/>
      <c r="F18" s="70"/>
      <c r="G18" s="70"/>
      <c r="H18" s="70" t="s">
        <v>36</v>
      </c>
      <c r="I18" s="71"/>
      <c r="J18" s="11"/>
      <c r="K18" s="11"/>
      <c r="L18" s="11"/>
      <c r="M18" s="11"/>
      <c r="N18" s="12"/>
      <c r="O18" s="10"/>
      <c r="P18" s="11"/>
      <c r="Q18" s="10"/>
      <c r="R18" s="11"/>
      <c r="S18" s="11"/>
      <c r="T18" s="10"/>
      <c r="U18" s="10"/>
      <c r="V18" s="22"/>
      <c r="W18" s="10"/>
      <c r="X18" s="10"/>
      <c r="Y18" s="10"/>
    </row>
    <row r="19" spans="1:25" ht="36.75" customHeight="1">
      <c r="A19" s="10">
        <v>41</v>
      </c>
      <c r="B19" s="113" t="s">
        <v>59</v>
      </c>
      <c r="C19" s="113"/>
      <c r="D19" s="113"/>
      <c r="E19" s="70"/>
      <c r="F19" s="70"/>
      <c r="G19" s="70"/>
      <c r="H19" s="70" t="s">
        <v>36</v>
      </c>
      <c r="I19" s="71"/>
      <c r="J19" s="11"/>
      <c r="K19" s="11"/>
      <c r="L19" s="11"/>
      <c r="M19" s="11"/>
      <c r="N19" s="12"/>
      <c r="O19" s="10"/>
      <c r="P19" s="11"/>
      <c r="Q19" s="10"/>
      <c r="R19" s="11"/>
      <c r="S19" s="11"/>
      <c r="T19" s="10"/>
      <c r="U19" s="10"/>
      <c r="V19" s="22"/>
      <c r="W19" s="10"/>
      <c r="X19" s="10"/>
      <c r="Y19" s="10"/>
    </row>
    <row r="20" spans="1:25" ht="36.75" customHeight="1">
      <c r="A20" s="10">
        <v>42</v>
      </c>
      <c r="B20" s="113" t="s">
        <v>59</v>
      </c>
      <c r="C20" s="113"/>
      <c r="D20" s="113"/>
      <c r="E20" s="70"/>
      <c r="F20" s="70"/>
      <c r="G20" s="70"/>
      <c r="H20" s="70" t="s">
        <v>36</v>
      </c>
      <c r="I20" s="71"/>
      <c r="J20" s="11"/>
      <c r="K20" s="11"/>
      <c r="L20" s="11"/>
      <c r="M20" s="11"/>
      <c r="N20" s="12"/>
      <c r="O20" s="10"/>
      <c r="P20" s="11"/>
      <c r="Q20" s="10"/>
      <c r="R20" s="11"/>
      <c r="S20" s="11"/>
      <c r="T20" s="10"/>
      <c r="U20" s="10"/>
      <c r="V20" s="22"/>
      <c r="W20" s="10"/>
      <c r="X20" s="10"/>
      <c r="Y20" s="10"/>
    </row>
    <row r="21" spans="1:25" ht="36.75" customHeight="1">
      <c r="A21" s="10">
        <v>43</v>
      </c>
      <c r="B21" s="113" t="s">
        <v>59</v>
      </c>
      <c r="C21" s="113"/>
      <c r="D21" s="113"/>
      <c r="E21" s="70"/>
      <c r="F21" s="70"/>
      <c r="G21" s="70"/>
      <c r="H21" s="70" t="s">
        <v>36</v>
      </c>
      <c r="I21" s="71"/>
      <c r="J21" s="11"/>
      <c r="K21" s="11"/>
      <c r="L21" s="11"/>
      <c r="M21" s="11"/>
      <c r="N21" s="12"/>
      <c r="O21" s="10"/>
      <c r="P21" s="11"/>
      <c r="Q21" s="10"/>
      <c r="R21" s="11"/>
      <c r="S21" s="11"/>
      <c r="T21" s="10"/>
      <c r="U21" s="10"/>
      <c r="V21" s="22"/>
      <c r="W21" s="10"/>
      <c r="X21" s="10"/>
      <c r="Y21" s="10"/>
    </row>
    <row r="22" spans="1:25" ht="36.75" customHeight="1">
      <c r="A22" s="10">
        <v>44</v>
      </c>
      <c r="B22" s="113" t="s">
        <v>59</v>
      </c>
      <c r="C22" s="113"/>
      <c r="D22" s="113"/>
      <c r="E22" s="70"/>
      <c r="F22" s="70"/>
      <c r="G22" s="70"/>
      <c r="H22" s="70" t="s">
        <v>36</v>
      </c>
      <c r="I22" s="71"/>
      <c r="J22" s="11"/>
      <c r="K22" s="11"/>
      <c r="L22" s="11"/>
      <c r="M22" s="11"/>
      <c r="N22" s="12"/>
      <c r="O22" s="10"/>
      <c r="P22" s="11"/>
      <c r="Q22" s="10"/>
      <c r="R22" s="11"/>
      <c r="S22" s="11"/>
      <c r="T22" s="10"/>
      <c r="U22" s="10"/>
      <c r="V22" s="22"/>
      <c r="W22" s="10"/>
      <c r="X22" s="10"/>
      <c r="Y22" s="10"/>
    </row>
    <row r="23" spans="1:25" ht="36.75" customHeight="1">
      <c r="A23" s="10">
        <v>45</v>
      </c>
      <c r="B23" s="113" t="s">
        <v>59</v>
      </c>
      <c r="C23" s="113"/>
      <c r="D23" s="113"/>
      <c r="E23" s="70"/>
      <c r="F23" s="70"/>
      <c r="G23" s="70"/>
      <c r="H23" s="70" t="s">
        <v>36</v>
      </c>
      <c r="I23" s="71"/>
      <c r="J23" s="11"/>
      <c r="K23" s="11"/>
      <c r="L23" s="11"/>
      <c r="M23" s="11"/>
      <c r="N23" s="12"/>
      <c r="O23" s="10"/>
      <c r="P23" s="11"/>
      <c r="Q23" s="10"/>
      <c r="R23" s="11"/>
      <c r="S23" s="11"/>
      <c r="T23" s="10"/>
      <c r="U23" s="10"/>
      <c r="V23" s="22"/>
      <c r="W23" s="10"/>
      <c r="X23" s="10"/>
      <c r="Y23" s="10"/>
    </row>
    <row r="24" spans="1:25" ht="36.75" customHeight="1">
      <c r="A24" s="10">
        <v>46</v>
      </c>
      <c r="B24" s="113" t="s">
        <v>59</v>
      </c>
      <c r="C24" s="113"/>
      <c r="D24" s="113"/>
      <c r="E24" s="70"/>
      <c r="F24" s="70"/>
      <c r="G24" s="70"/>
      <c r="H24" s="70" t="s">
        <v>36</v>
      </c>
      <c r="I24" s="71"/>
      <c r="J24" s="11"/>
      <c r="K24" s="11"/>
      <c r="L24" s="11"/>
      <c r="M24" s="11"/>
      <c r="N24" s="12"/>
      <c r="O24" s="10"/>
      <c r="P24" s="11"/>
      <c r="Q24" s="10"/>
      <c r="R24" s="11"/>
      <c r="S24" s="11"/>
      <c r="T24" s="10"/>
      <c r="U24" s="10"/>
      <c r="V24" s="22"/>
      <c r="W24" s="10"/>
      <c r="X24" s="10"/>
      <c r="Y24" s="10"/>
    </row>
    <row r="25" spans="1:25" ht="36.75" customHeight="1">
      <c r="A25" s="10">
        <v>47</v>
      </c>
      <c r="B25" s="113" t="s">
        <v>59</v>
      </c>
      <c r="C25" s="113"/>
      <c r="D25" s="113"/>
      <c r="E25" s="70"/>
      <c r="F25" s="70"/>
      <c r="G25" s="70"/>
      <c r="H25" s="70" t="s">
        <v>36</v>
      </c>
      <c r="I25" s="71"/>
      <c r="J25" s="11"/>
      <c r="K25" s="11"/>
      <c r="L25" s="11"/>
      <c r="M25" s="11"/>
      <c r="N25" s="12"/>
      <c r="O25" s="10"/>
      <c r="P25" s="11"/>
      <c r="Q25" s="10"/>
      <c r="R25" s="11"/>
      <c r="S25" s="11"/>
      <c r="T25" s="10"/>
      <c r="U25" s="10"/>
      <c r="V25" s="22"/>
      <c r="W25" s="10"/>
      <c r="X25" s="10"/>
      <c r="Y25" s="10"/>
    </row>
    <row r="26" spans="1:25" ht="36.75" customHeight="1">
      <c r="A26" s="10">
        <v>48</v>
      </c>
      <c r="B26" s="113" t="s">
        <v>59</v>
      </c>
      <c r="C26" s="113"/>
      <c r="D26" s="113"/>
      <c r="E26" s="70"/>
      <c r="F26" s="70"/>
      <c r="G26" s="70"/>
      <c r="H26" s="70" t="s">
        <v>36</v>
      </c>
      <c r="I26" s="71"/>
      <c r="J26" s="11"/>
      <c r="K26" s="11"/>
      <c r="L26" s="11"/>
      <c r="M26" s="11"/>
      <c r="N26" s="12"/>
      <c r="O26" s="10"/>
      <c r="P26" s="11"/>
      <c r="Q26" s="10"/>
      <c r="R26" s="11"/>
      <c r="S26" s="11"/>
      <c r="T26" s="10"/>
      <c r="U26" s="10"/>
      <c r="V26" s="22"/>
      <c r="W26" s="10"/>
      <c r="X26" s="10"/>
      <c r="Y26" s="10"/>
    </row>
    <row r="27" spans="1:25" ht="36.75" customHeight="1">
      <c r="A27" s="10">
        <v>49</v>
      </c>
      <c r="B27" s="113" t="s">
        <v>59</v>
      </c>
      <c r="C27" s="113"/>
      <c r="D27" s="113"/>
      <c r="E27" s="70"/>
      <c r="F27" s="70"/>
      <c r="G27" s="70"/>
      <c r="H27" s="70" t="s">
        <v>36</v>
      </c>
      <c r="I27" s="71"/>
      <c r="J27" s="11"/>
      <c r="K27" s="11"/>
      <c r="L27" s="11"/>
      <c r="M27" s="11"/>
      <c r="N27" s="12"/>
      <c r="O27" s="10"/>
      <c r="P27" s="11"/>
      <c r="Q27" s="10"/>
      <c r="R27" s="11"/>
      <c r="S27" s="11"/>
      <c r="T27" s="10"/>
      <c r="U27" s="10"/>
      <c r="V27" s="22"/>
      <c r="W27" s="10"/>
      <c r="X27" s="10"/>
      <c r="Y27" s="10"/>
    </row>
    <row r="28" spans="1:25" ht="36.75" customHeight="1">
      <c r="A28" s="10">
        <v>50</v>
      </c>
      <c r="B28" s="113" t="s">
        <v>59</v>
      </c>
      <c r="C28" s="113"/>
      <c r="D28" s="113"/>
      <c r="E28" s="70"/>
      <c r="F28" s="70"/>
      <c r="G28" s="70"/>
      <c r="H28" s="70" t="s">
        <v>36</v>
      </c>
      <c r="I28" s="71"/>
      <c r="J28" s="11"/>
      <c r="K28" s="11"/>
      <c r="L28" s="11"/>
      <c r="M28" s="11"/>
      <c r="N28" s="12"/>
      <c r="O28" s="10"/>
      <c r="P28" s="11"/>
      <c r="Q28" s="10"/>
      <c r="R28" s="11"/>
      <c r="S28" s="11"/>
      <c r="T28" s="10"/>
      <c r="U28" s="10"/>
      <c r="V28" s="22"/>
      <c r="W28" s="10"/>
      <c r="X28" s="10"/>
      <c r="Y28" s="10"/>
    </row>
    <row r="29" spans="1:25" ht="36.75" customHeight="1">
      <c r="A29" s="10">
        <v>51</v>
      </c>
      <c r="B29" s="113" t="s">
        <v>59</v>
      </c>
      <c r="C29" s="113"/>
      <c r="D29" s="113"/>
      <c r="E29" s="70"/>
      <c r="F29" s="70"/>
      <c r="G29" s="70"/>
      <c r="H29" s="70" t="s">
        <v>36</v>
      </c>
      <c r="I29" s="71"/>
      <c r="J29" s="11"/>
      <c r="K29" s="11"/>
      <c r="L29" s="11"/>
      <c r="M29" s="11"/>
      <c r="N29" s="12"/>
      <c r="O29" s="10"/>
      <c r="P29" s="11"/>
      <c r="Q29" s="10"/>
      <c r="R29" s="11"/>
      <c r="S29" s="11"/>
      <c r="T29" s="10"/>
      <c r="U29" s="10"/>
      <c r="V29" s="22"/>
      <c r="W29" s="10"/>
      <c r="X29" s="10"/>
      <c r="Y29" s="10"/>
    </row>
    <row r="30" spans="1:25" ht="36.75" customHeight="1">
      <c r="A30" s="10">
        <v>52</v>
      </c>
      <c r="B30" s="113" t="s">
        <v>59</v>
      </c>
      <c r="C30" s="113"/>
      <c r="D30" s="113"/>
      <c r="E30" s="70"/>
      <c r="F30" s="70"/>
      <c r="G30" s="70"/>
      <c r="H30" s="70" t="s">
        <v>36</v>
      </c>
      <c r="I30" s="71"/>
      <c r="J30" s="11"/>
      <c r="K30" s="11"/>
      <c r="L30" s="11"/>
      <c r="M30" s="11"/>
      <c r="N30" s="12"/>
      <c r="O30" s="10"/>
      <c r="P30" s="11"/>
      <c r="Q30" s="10"/>
      <c r="R30" s="11"/>
      <c r="S30" s="11"/>
      <c r="T30" s="10"/>
      <c r="U30" s="10"/>
      <c r="V30" s="22"/>
      <c r="W30" s="10"/>
      <c r="X30" s="10"/>
      <c r="Y30" s="10"/>
    </row>
    <row r="31" spans="1:25" ht="36.75" customHeight="1">
      <c r="A31" s="10">
        <v>53</v>
      </c>
      <c r="B31" s="113" t="s">
        <v>59</v>
      </c>
      <c r="C31" s="113"/>
      <c r="D31" s="113"/>
      <c r="E31" s="70"/>
      <c r="F31" s="70"/>
      <c r="G31" s="70"/>
      <c r="H31" s="70" t="s">
        <v>36</v>
      </c>
      <c r="I31" s="71"/>
      <c r="J31" s="11"/>
      <c r="K31" s="11"/>
      <c r="L31" s="11"/>
      <c r="M31" s="11"/>
      <c r="N31" s="12"/>
      <c r="O31" s="10"/>
      <c r="P31" s="11"/>
      <c r="Q31" s="10"/>
      <c r="R31" s="11"/>
      <c r="S31" s="11"/>
      <c r="T31" s="10"/>
      <c r="U31" s="10"/>
      <c r="V31" s="22"/>
      <c r="W31" s="10"/>
      <c r="X31" s="10"/>
      <c r="Y31" s="10"/>
    </row>
    <row r="32" spans="1:25" ht="36.75" customHeight="1">
      <c r="A32" s="10">
        <v>54</v>
      </c>
      <c r="B32" s="113" t="s">
        <v>59</v>
      </c>
      <c r="C32" s="113"/>
      <c r="D32" s="113"/>
      <c r="E32" s="70"/>
      <c r="F32" s="70"/>
      <c r="G32" s="70"/>
      <c r="H32" s="70" t="s">
        <v>36</v>
      </c>
      <c r="I32" s="71"/>
      <c r="J32" s="11"/>
      <c r="K32" s="11"/>
      <c r="L32" s="11"/>
      <c r="M32" s="11"/>
      <c r="N32" s="12"/>
      <c r="O32" s="10"/>
      <c r="P32" s="11"/>
      <c r="Q32" s="10"/>
      <c r="R32" s="11"/>
      <c r="S32" s="11"/>
      <c r="T32" s="10"/>
      <c r="U32" s="10"/>
      <c r="V32" s="22"/>
      <c r="W32" s="10"/>
      <c r="X32" s="10"/>
      <c r="Y32" s="10"/>
    </row>
    <row r="33" spans="1:25" ht="36.75" customHeight="1">
      <c r="A33" s="10">
        <v>55</v>
      </c>
      <c r="B33" s="113" t="s">
        <v>59</v>
      </c>
      <c r="C33" s="113"/>
      <c r="D33" s="113"/>
      <c r="E33" s="70"/>
      <c r="F33" s="70"/>
      <c r="G33" s="70"/>
      <c r="H33" s="70" t="s">
        <v>36</v>
      </c>
      <c r="I33" s="71"/>
      <c r="J33" s="11"/>
      <c r="K33" s="11"/>
      <c r="L33" s="11"/>
      <c r="M33" s="11"/>
      <c r="N33" s="12"/>
      <c r="O33" s="10"/>
      <c r="P33" s="11"/>
      <c r="Q33" s="10"/>
      <c r="R33" s="11"/>
      <c r="S33" s="11"/>
      <c r="T33" s="10"/>
      <c r="U33" s="10"/>
      <c r="V33" s="22"/>
      <c r="W33" s="10"/>
      <c r="X33" s="10"/>
      <c r="Y33" s="10"/>
    </row>
    <row r="34" spans="1:25" ht="36.75" customHeight="1">
      <c r="A34" s="10">
        <v>56</v>
      </c>
      <c r="B34" s="113" t="s">
        <v>59</v>
      </c>
      <c r="C34" s="113"/>
      <c r="D34" s="113"/>
      <c r="E34" s="70"/>
      <c r="F34" s="70"/>
      <c r="G34" s="70"/>
      <c r="H34" s="70" t="s">
        <v>36</v>
      </c>
      <c r="I34" s="71"/>
      <c r="J34" s="11"/>
      <c r="K34" s="11"/>
      <c r="L34" s="11"/>
      <c r="M34" s="11"/>
      <c r="N34" s="12"/>
      <c r="O34" s="10"/>
      <c r="P34" s="11"/>
      <c r="Q34" s="10"/>
      <c r="R34" s="11"/>
      <c r="S34" s="11"/>
      <c r="T34" s="10"/>
      <c r="U34" s="10"/>
      <c r="V34" s="22"/>
      <c r="W34" s="10"/>
      <c r="X34" s="10"/>
      <c r="Y34" s="10"/>
    </row>
    <row r="35" spans="1:25" ht="36.75" customHeight="1">
      <c r="A35" s="10">
        <v>57</v>
      </c>
      <c r="B35" s="113" t="s">
        <v>59</v>
      </c>
      <c r="C35" s="113"/>
      <c r="D35" s="113"/>
      <c r="E35" s="70"/>
      <c r="F35" s="70"/>
      <c r="G35" s="70"/>
      <c r="H35" s="70" t="s">
        <v>36</v>
      </c>
      <c r="I35" s="71"/>
      <c r="J35" s="11"/>
      <c r="K35" s="11"/>
      <c r="L35" s="11"/>
      <c r="M35" s="11"/>
      <c r="N35" s="12"/>
      <c r="O35" s="10"/>
      <c r="P35" s="11"/>
      <c r="Q35" s="10"/>
      <c r="R35" s="11"/>
      <c r="S35" s="11"/>
      <c r="T35" s="10"/>
      <c r="U35" s="10"/>
      <c r="V35" s="22"/>
      <c r="W35" s="10"/>
      <c r="X35" s="10"/>
      <c r="Y35" s="10"/>
    </row>
    <row r="36" spans="1:25" ht="36.75" customHeight="1">
      <c r="A36" s="10">
        <v>58</v>
      </c>
      <c r="B36" s="113" t="s">
        <v>59</v>
      </c>
      <c r="C36" s="113"/>
      <c r="D36" s="113"/>
      <c r="E36" s="70"/>
      <c r="F36" s="70"/>
      <c r="G36" s="70"/>
      <c r="H36" s="70" t="s">
        <v>36</v>
      </c>
      <c r="I36" s="71"/>
      <c r="J36" s="11"/>
      <c r="K36" s="11"/>
      <c r="L36" s="11"/>
      <c r="M36" s="11"/>
      <c r="N36" s="12"/>
      <c r="O36" s="10"/>
      <c r="P36" s="11"/>
      <c r="Q36" s="10"/>
      <c r="R36" s="11"/>
      <c r="S36" s="11"/>
      <c r="T36" s="10"/>
      <c r="U36" s="10"/>
      <c r="V36" s="22"/>
      <c r="W36" s="10"/>
      <c r="X36" s="10"/>
      <c r="Y36" s="10"/>
    </row>
    <row r="37" spans="1:25" ht="36.75" customHeight="1">
      <c r="A37" s="10">
        <v>59</v>
      </c>
      <c r="B37" s="113" t="s">
        <v>59</v>
      </c>
      <c r="C37" s="113"/>
      <c r="D37" s="113"/>
      <c r="E37" s="70"/>
      <c r="F37" s="70"/>
      <c r="G37" s="70"/>
      <c r="H37" s="70" t="s">
        <v>36</v>
      </c>
      <c r="I37" s="71"/>
      <c r="J37" s="11"/>
      <c r="K37" s="11"/>
      <c r="L37" s="11"/>
      <c r="M37" s="11"/>
      <c r="N37" s="12"/>
      <c r="O37" s="10"/>
      <c r="P37" s="11"/>
      <c r="Q37" s="10"/>
      <c r="R37" s="11"/>
      <c r="S37" s="11"/>
      <c r="T37" s="10"/>
      <c r="U37" s="10"/>
      <c r="V37" s="22"/>
      <c r="W37" s="10"/>
      <c r="X37" s="10"/>
      <c r="Y37" s="10"/>
    </row>
    <row r="38" spans="1:25" ht="36.75" customHeight="1">
      <c r="A38" s="10">
        <v>60</v>
      </c>
      <c r="B38" s="113" t="s">
        <v>59</v>
      </c>
      <c r="C38" s="113"/>
      <c r="D38" s="113"/>
      <c r="E38" s="70"/>
      <c r="F38" s="70"/>
      <c r="G38" s="70"/>
      <c r="H38" s="70" t="s">
        <v>36</v>
      </c>
      <c r="I38" s="71"/>
      <c r="J38" s="11"/>
      <c r="K38" s="11"/>
      <c r="L38" s="11"/>
      <c r="M38" s="11"/>
      <c r="N38" s="12"/>
      <c r="O38" s="10"/>
      <c r="P38" s="11"/>
      <c r="Q38" s="10"/>
      <c r="R38" s="11"/>
      <c r="S38" s="11"/>
      <c r="T38" s="10"/>
      <c r="U38" s="10"/>
      <c r="V38" s="22"/>
      <c r="W38" s="10"/>
      <c r="X38" s="10"/>
      <c r="Y38" s="10"/>
    </row>
    <row r="39" spans="1:25" ht="36.75" customHeight="1">
      <c r="A39" s="10">
        <v>61</v>
      </c>
      <c r="B39" s="113" t="s">
        <v>59</v>
      </c>
      <c r="C39" s="113"/>
      <c r="D39" s="113"/>
      <c r="E39" s="70"/>
      <c r="F39" s="70"/>
      <c r="G39" s="70"/>
      <c r="H39" s="70" t="s">
        <v>36</v>
      </c>
      <c r="I39" s="71"/>
      <c r="J39" s="11"/>
      <c r="K39" s="11"/>
      <c r="L39" s="11"/>
      <c r="M39" s="11"/>
      <c r="N39" s="12"/>
      <c r="O39" s="10"/>
      <c r="P39" s="11"/>
      <c r="Q39" s="10"/>
      <c r="R39" s="11"/>
      <c r="S39" s="11"/>
      <c r="T39" s="10"/>
      <c r="U39" s="10"/>
      <c r="V39" s="22"/>
      <c r="W39" s="10"/>
      <c r="X39" s="10"/>
      <c r="Y39" s="10"/>
    </row>
    <row r="40" spans="1:25" ht="36.75" customHeight="1">
      <c r="A40" s="10">
        <v>62</v>
      </c>
      <c r="B40" s="113" t="s">
        <v>59</v>
      </c>
      <c r="C40" s="113"/>
      <c r="D40" s="113"/>
      <c r="E40" s="70"/>
      <c r="F40" s="70"/>
      <c r="G40" s="70"/>
      <c r="H40" s="70" t="s">
        <v>36</v>
      </c>
      <c r="I40" s="71"/>
      <c r="J40" s="11"/>
      <c r="K40" s="11"/>
      <c r="L40" s="11"/>
      <c r="M40" s="11"/>
      <c r="N40" s="12"/>
      <c r="O40" s="10"/>
      <c r="P40" s="11"/>
      <c r="Q40" s="10"/>
      <c r="R40" s="11"/>
      <c r="S40" s="11"/>
      <c r="T40" s="10"/>
      <c r="U40" s="10"/>
      <c r="V40" s="22"/>
      <c r="W40" s="10"/>
      <c r="X40" s="10"/>
      <c r="Y40" s="10"/>
    </row>
    <row r="41" spans="1:25" ht="36.75" customHeight="1">
      <c r="A41" s="10">
        <v>63</v>
      </c>
      <c r="B41" s="113" t="s">
        <v>59</v>
      </c>
      <c r="C41" s="113"/>
      <c r="D41" s="113"/>
      <c r="E41" s="70"/>
      <c r="F41" s="70"/>
      <c r="G41" s="70"/>
      <c r="H41" s="70" t="s">
        <v>36</v>
      </c>
      <c r="I41" s="71"/>
      <c r="J41" s="11"/>
      <c r="K41" s="11"/>
      <c r="L41" s="11"/>
      <c r="M41" s="11"/>
      <c r="N41" s="12"/>
      <c r="O41" s="10"/>
      <c r="P41" s="11"/>
      <c r="Q41" s="10"/>
      <c r="R41" s="11"/>
      <c r="S41" s="11"/>
      <c r="T41" s="10"/>
      <c r="U41" s="10"/>
      <c r="V41" s="22"/>
      <c r="W41" s="10"/>
      <c r="X41" s="10"/>
      <c r="Y41" s="10"/>
    </row>
    <row r="42" spans="1:25" ht="36.75" customHeight="1">
      <c r="A42" s="10">
        <v>64</v>
      </c>
      <c r="B42" s="113" t="s">
        <v>59</v>
      </c>
      <c r="C42" s="113"/>
      <c r="D42" s="113"/>
      <c r="E42" s="70"/>
      <c r="F42" s="70"/>
      <c r="G42" s="70"/>
      <c r="H42" s="70" t="s">
        <v>36</v>
      </c>
      <c r="I42" s="71"/>
      <c r="J42" s="11"/>
      <c r="K42" s="11"/>
      <c r="L42" s="11"/>
      <c r="M42" s="11"/>
      <c r="N42" s="12"/>
      <c r="O42" s="10"/>
      <c r="P42" s="11"/>
      <c r="Q42" s="10"/>
      <c r="R42" s="11"/>
      <c r="S42" s="11"/>
      <c r="T42" s="10"/>
      <c r="U42" s="10"/>
      <c r="V42" s="22"/>
      <c r="W42" s="10"/>
      <c r="X42" s="10"/>
      <c r="Y42" s="10"/>
    </row>
    <row r="43" spans="1:25" ht="36.75" customHeight="1">
      <c r="A43" s="10">
        <v>65</v>
      </c>
      <c r="B43" s="113" t="s">
        <v>59</v>
      </c>
      <c r="C43" s="113"/>
      <c r="D43" s="113"/>
      <c r="E43" s="70"/>
      <c r="F43" s="70"/>
      <c r="G43" s="70"/>
      <c r="H43" s="70" t="s">
        <v>36</v>
      </c>
      <c r="I43" s="71"/>
      <c r="J43" s="11"/>
      <c r="K43" s="11"/>
      <c r="L43" s="11"/>
      <c r="M43" s="11"/>
      <c r="N43" s="12"/>
      <c r="O43" s="10"/>
      <c r="P43" s="11"/>
      <c r="Q43" s="10"/>
      <c r="R43" s="11"/>
      <c r="S43" s="11"/>
      <c r="T43" s="10"/>
      <c r="U43" s="10"/>
      <c r="V43" s="22"/>
      <c r="W43" s="10"/>
      <c r="X43" s="10"/>
      <c r="Y43" s="10"/>
    </row>
    <row r="44" spans="1:25" ht="36.75" customHeight="1">
      <c r="A44" s="10">
        <v>66</v>
      </c>
      <c r="B44" s="113" t="s">
        <v>59</v>
      </c>
      <c r="C44" s="113"/>
      <c r="D44" s="113"/>
      <c r="E44" s="70"/>
      <c r="F44" s="70"/>
      <c r="G44" s="70"/>
      <c r="H44" s="70" t="s">
        <v>36</v>
      </c>
      <c r="I44" s="71"/>
      <c r="J44" s="11"/>
      <c r="K44" s="11"/>
      <c r="L44" s="11"/>
      <c r="M44" s="11"/>
      <c r="N44" s="12"/>
      <c r="O44" s="10"/>
      <c r="P44" s="11"/>
      <c r="Q44" s="10"/>
      <c r="R44" s="11"/>
      <c r="S44" s="11"/>
      <c r="T44" s="10"/>
      <c r="U44" s="10"/>
      <c r="V44" s="22"/>
      <c r="W44" s="10"/>
      <c r="X44" s="10"/>
      <c r="Y44" s="10"/>
    </row>
    <row r="45" spans="1:25" ht="36.75" customHeight="1">
      <c r="A45" s="10">
        <v>67</v>
      </c>
      <c r="B45" s="113" t="s">
        <v>59</v>
      </c>
      <c r="C45" s="113"/>
      <c r="D45" s="113"/>
      <c r="E45" s="70"/>
      <c r="F45" s="70"/>
      <c r="G45" s="70"/>
      <c r="H45" s="70" t="s">
        <v>36</v>
      </c>
      <c r="I45" s="71"/>
      <c r="J45" s="11"/>
      <c r="K45" s="11"/>
      <c r="L45" s="11"/>
      <c r="M45" s="11"/>
      <c r="N45" s="12"/>
      <c r="O45" s="10"/>
      <c r="P45" s="11"/>
      <c r="Q45" s="10"/>
      <c r="R45" s="11"/>
      <c r="S45" s="11"/>
      <c r="T45" s="10"/>
      <c r="U45" s="10"/>
      <c r="V45" s="22"/>
      <c r="W45" s="10"/>
      <c r="X45" s="10"/>
      <c r="Y45" s="10"/>
    </row>
    <row r="46" spans="1:25" ht="36.75" customHeight="1">
      <c r="A46" s="10">
        <v>68</v>
      </c>
      <c r="B46" s="113" t="s">
        <v>59</v>
      </c>
      <c r="C46" s="113"/>
      <c r="D46" s="113"/>
      <c r="E46" s="70"/>
      <c r="F46" s="70"/>
      <c r="G46" s="70"/>
      <c r="H46" s="70" t="s">
        <v>36</v>
      </c>
      <c r="I46" s="71"/>
      <c r="J46" s="11"/>
      <c r="K46" s="11"/>
      <c r="L46" s="11"/>
      <c r="M46" s="11"/>
      <c r="N46" s="12"/>
      <c r="O46" s="10"/>
      <c r="P46" s="11"/>
      <c r="Q46" s="10"/>
      <c r="R46" s="11"/>
      <c r="S46" s="11"/>
      <c r="T46" s="10"/>
      <c r="U46" s="10"/>
      <c r="V46" s="22"/>
      <c r="W46" s="10"/>
      <c r="X46" s="10"/>
      <c r="Y46" s="10"/>
    </row>
    <row r="47" spans="1:25" ht="36.75" customHeight="1">
      <c r="A47" s="10">
        <v>69</v>
      </c>
      <c r="B47" s="113" t="s">
        <v>59</v>
      </c>
      <c r="C47" s="113"/>
      <c r="D47" s="113"/>
      <c r="E47" s="70"/>
      <c r="F47" s="70"/>
      <c r="G47" s="70"/>
      <c r="H47" s="70" t="s">
        <v>36</v>
      </c>
      <c r="I47" s="71"/>
      <c r="J47" s="11"/>
      <c r="K47" s="11"/>
      <c r="L47" s="11"/>
      <c r="M47" s="11"/>
      <c r="N47" s="12"/>
      <c r="O47" s="10"/>
      <c r="P47" s="11"/>
      <c r="Q47" s="10"/>
      <c r="R47" s="11"/>
      <c r="S47" s="11"/>
      <c r="T47" s="10"/>
      <c r="U47" s="10"/>
      <c r="V47" s="22"/>
      <c r="W47" s="10"/>
      <c r="X47" s="10"/>
      <c r="Y47" s="10"/>
    </row>
    <row r="48" spans="1:25" ht="36.75" customHeight="1">
      <c r="A48" s="10">
        <v>70</v>
      </c>
      <c r="B48" s="113" t="s">
        <v>59</v>
      </c>
      <c r="C48" s="113"/>
      <c r="D48" s="113"/>
      <c r="E48" s="70"/>
      <c r="F48" s="70"/>
      <c r="G48" s="70"/>
      <c r="H48" s="70" t="s">
        <v>36</v>
      </c>
      <c r="I48" s="71"/>
      <c r="J48" s="11"/>
      <c r="K48" s="11"/>
      <c r="L48" s="11"/>
      <c r="M48" s="11"/>
      <c r="N48" s="12"/>
      <c r="O48" s="10"/>
      <c r="P48" s="11"/>
      <c r="Q48" s="10"/>
      <c r="R48" s="11"/>
      <c r="S48" s="11"/>
      <c r="T48" s="10"/>
      <c r="U48" s="10"/>
      <c r="V48" s="22"/>
      <c r="W48" s="10"/>
      <c r="X48" s="10"/>
      <c r="Y48" s="10"/>
    </row>
    <row r="49" spans="1:25" ht="53.25" customHeight="1">
      <c r="A49" s="112" t="s">
        <v>7</v>
      </c>
      <c r="B49" s="112"/>
      <c r="C49" s="112"/>
      <c r="D49" s="112"/>
      <c r="E49" s="112"/>
      <c r="F49" s="112"/>
      <c r="G49" s="112"/>
      <c r="H49" s="112"/>
      <c r="I49" s="112"/>
      <c r="J49" s="14" t="s">
        <v>6</v>
      </c>
      <c r="K49" s="14" t="s">
        <v>6</v>
      </c>
      <c r="L49" s="14" t="s">
        <v>6</v>
      </c>
      <c r="M49" s="14" t="s">
        <v>6</v>
      </c>
      <c r="N49" s="13" t="s">
        <v>14</v>
      </c>
      <c r="O49" s="14" t="s">
        <v>5</v>
      </c>
      <c r="P49" s="14" t="s">
        <v>29</v>
      </c>
      <c r="Q49" s="14" t="s">
        <v>3</v>
      </c>
      <c r="R49" s="78" t="s">
        <v>28</v>
      </c>
      <c r="S49" s="79"/>
      <c r="T49" s="13" t="s">
        <v>20</v>
      </c>
      <c r="U49" s="16" t="s">
        <v>22</v>
      </c>
      <c r="V49" s="13" t="s">
        <v>27</v>
      </c>
      <c r="W49" s="14" t="s">
        <v>24</v>
      </c>
      <c r="X49" s="14" t="s">
        <v>4</v>
      </c>
      <c r="Y49" s="73"/>
    </row>
    <row r="50" spans="1:25" s="17" customFormat="1" ht="26.25" customHeight="1">
      <c r="A50" s="75" t="s">
        <v>8</v>
      </c>
      <c r="B50" s="75"/>
      <c r="C50" s="75"/>
      <c r="D50" s="75"/>
      <c r="E50" s="75"/>
      <c r="F50" s="75"/>
      <c r="G50" s="75"/>
      <c r="H50" s="75"/>
      <c r="I50" s="75"/>
      <c r="J50" s="15">
        <v>46392</v>
      </c>
      <c r="K50" s="15">
        <v>46392</v>
      </c>
      <c r="L50" s="15">
        <v>46392</v>
      </c>
      <c r="M50" s="15">
        <v>46392</v>
      </c>
      <c r="N50" s="7" t="s">
        <v>45</v>
      </c>
      <c r="O50" s="7" t="s">
        <v>45</v>
      </c>
      <c r="P50" s="15">
        <v>46392</v>
      </c>
      <c r="Q50" s="15">
        <v>46392</v>
      </c>
      <c r="R50" s="76">
        <v>46392</v>
      </c>
      <c r="S50" s="77"/>
      <c r="T50" s="7" t="s">
        <v>45</v>
      </c>
      <c r="U50" s="15">
        <v>46392</v>
      </c>
      <c r="V50" s="23">
        <v>46392</v>
      </c>
      <c r="W50" s="15">
        <v>46392</v>
      </c>
      <c r="X50" s="15">
        <v>46392</v>
      </c>
      <c r="Y50" s="74"/>
    </row>
    <row r="51" spans="1:25" ht="45" customHeight="1">
      <c r="A51" s="49" t="s">
        <v>23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1"/>
    </row>
    <row r="52" spans="1:25" s="19" customFormat="1" ht="18" customHeight="1">
      <c r="A52" s="18" t="s">
        <v>30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s="20" customFormat="1" ht="33.75" customHeight="1">
      <c r="A53" s="111" t="s">
        <v>60</v>
      </c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 t="s">
        <v>63</v>
      </c>
      <c r="V53" s="111"/>
      <c r="W53" s="111"/>
      <c r="X53" s="111"/>
      <c r="Y53" s="111"/>
    </row>
  </sheetData>
  <mergeCells count="147">
    <mergeCell ref="A53:T53"/>
    <mergeCell ref="U53:Y53"/>
    <mergeCell ref="A51:Y51"/>
    <mergeCell ref="A7:C7"/>
    <mergeCell ref="D7:H7"/>
    <mergeCell ref="A49:I49"/>
    <mergeCell ref="R49:S49"/>
    <mergeCell ref="Y49:Y50"/>
    <mergeCell ref="A50:I50"/>
    <mergeCell ref="R50:S50"/>
    <mergeCell ref="B47:D47"/>
    <mergeCell ref="E47:G47"/>
    <mergeCell ref="H47:I47"/>
    <mergeCell ref="B48:D48"/>
    <mergeCell ref="E48:G48"/>
    <mergeCell ref="H48:I48"/>
    <mergeCell ref="B45:D45"/>
    <mergeCell ref="E45:G45"/>
    <mergeCell ref="H45:I45"/>
    <mergeCell ref="B46:D46"/>
    <mergeCell ref="E46:G46"/>
    <mergeCell ref="H46:I46"/>
    <mergeCell ref="B43:D43"/>
    <mergeCell ref="E43:G43"/>
    <mergeCell ref="H43:I43"/>
    <mergeCell ref="B44:D44"/>
    <mergeCell ref="E44:G44"/>
    <mergeCell ref="H44:I44"/>
    <mergeCell ref="B41:D41"/>
    <mergeCell ref="E41:G41"/>
    <mergeCell ref="H41:I41"/>
    <mergeCell ref="B42:D42"/>
    <mergeCell ref="E42:G42"/>
    <mergeCell ref="H42:I42"/>
    <mergeCell ref="B39:D39"/>
    <mergeCell ref="E39:G39"/>
    <mergeCell ref="H39:I39"/>
    <mergeCell ref="B40:D40"/>
    <mergeCell ref="E40:G40"/>
    <mergeCell ref="H40:I40"/>
    <mergeCell ref="B37:D37"/>
    <mergeCell ref="E37:G37"/>
    <mergeCell ref="H37:I37"/>
    <mergeCell ref="B38:D38"/>
    <mergeCell ref="E38:G38"/>
    <mergeCell ref="H38:I38"/>
    <mergeCell ref="B35:D35"/>
    <mergeCell ref="E35:G35"/>
    <mergeCell ref="H35:I35"/>
    <mergeCell ref="B36:D36"/>
    <mergeCell ref="E36:G36"/>
    <mergeCell ref="H36:I36"/>
    <mergeCell ref="B33:D33"/>
    <mergeCell ref="E33:G33"/>
    <mergeCell ref="H33:I33"/>
    <mergeCell ref="B34:D34"/>
    <mergeCell ref="E34:G34"/>
    <mergeCell ref="H34:I34"/>
    <mergeCell ref="B31:D31"/>
    <mergeCell ref="E31:G31"/>
    <mergeCell ref="H31:I31"/>
    <mergeCell ref="B32:D32"/>
    <mergeCell ref="E32:G32"/>
    <mergeCell ref="H32:I32"/>
    <mergeCell ref="B29:D29"/>
    <mergeCell ref="E29:G29"/>
    <mergeCell ref="H29:I29"/>
    <mergeCell ref="B30:D30"/>
    <mergeCell ref="E30:G30"/>
    <mergeCell ref="H30:I30"/>
    <mergeCell ref="B27:D27"/>
    <mergeCell ref="E27:G27"/>
    <mergeCell ref="H27:I27"/>
    <mergeCell ref="B28:D28"/>
    <mergeCell ref="E28:G28"/>
    <mergeCell ref="H28:I28"/>
    <mergeCell ref="B25:D25"/>
    <mergeCell ref="E25:G25"/>
    <mergeCell ref="H25:I25"/>
    <mergeCell ref="B26:D26"/>
    <mergeCell ref="E26:G26"/>
    <mergeCell ref="H26:I26"/>
    <mergeCell ref="B23:D23"/>
    <mergeCell ref="E23:G23"/>
    <mergeCell ref="H23:I23"/>
    <mergeCell ref="B24:D24"/>
    <mergeCell ref="E24:G24"/>
    <mergeCell ref="H24:I24"/>
    <mergeCell ref="B21:D21"/>
    <mergeCell ref="E21:G21"/>
    <mergeCell ref="H21:I21"/>
    <mergeCell ref="B22:D22"/>
    <mergeCell ref="E22:G22"/>
    <mergeCell ref="H22:I22"/>
    <mergeCell ref="B19:D19"/>
    <mergeCell ref="E19:G19"/>
    <mergeCell ref="H19:I19"/>
    <mergeCell ref="B20:D20"/>
    <mergeCell ref="E20:G20"/>
    <mergeCell ref="H20:I20"/>
    <mergeCell ref="B17:D17"/>
    <mergeCell ref="E17:G17"/>
    <mergeCell ref="H17:I17"/>
    <mergeCell ref="B18:D18"/>
    <mergeCell ref="E18:G18"/>
    <mergeCell ref="H18:I18"/>
    <mergeCell ref="B15:D15"/>
    <mergeCell ref="E15:G15"/>
    <mergeCell ref="H15:I15"/>
    <mergeCell ref="B16:D16"/>
    <mergeCell ref="E16:G16"/>
    <mergeCell ref="H16:I16"/>
    <mergeCell ref="B14:D14"/>
    <mergeCell ref="E14:G14"/>
    <mergeCell ref="H14:I14"/>
    <mergeCell ref="R11:S11"/>
    <mergeCell ref="T11:T12"/>
    <mergeCell ref="U11:U12"/>
    <mergeCell ref="V11:V12"/>
    <mergeCell ref="W11:W12"/>
    <mergeCell ref="L11:L12"/>
    <mergeCell ref="M11:M12"/>
    <mergeCell ref="N11:N12"/>
    <mergeCell ref="O11:O12"/>
    <mergeCell ref="P11:P12"/>
    <mergeCell ref="Q11:Q12"/>
    <mergeCell ref="A1:Y2"/>
    <mergeCell ref="A3:U3"/>
    <mergeCell ref="V3:Y3"/>
    <mergeCell ref="A4:L4"/>
    <mergeCell ref="P4:Y7"/>
    <mergeCell ref="A5:L5"/>
    <mergeCell ref="A6:L6"/>
    <mergeCell ref="I7:L7"/>
    <mergeCell ref="A8:A13"/>
    <mergeCell ref="B8:I13"/>
    <mergeCell ref="J8:Y8"/>
    <mergeCell ref="J9:U9"/>
    <mergeCell ref="V9:X9"/>
    <mergeCell ref="Y9:Y13"/>
    <mergeCell ref="J10:M10"/>
    <mergeCell ref="O10:X10"/>
    <mergeCell ref="J11:J12"/>
    <mergeCell ref="K11:K12"/>
    <mergeCell ref="J13:M13"/>
    <mergeCell ref="N13:X13"/>
    <mergeCell ref="X11:X12"/>
  </mergeCells>
  <phoneticPr fontId="4" type="noConversion"/>
  <conditionalFormatting sqref="N14:Q48 T14:T48 V14:Y48">
    <cfRule type="containsText" dxfId="1" priority="2" operator="containsText" text="NG">
      <formula>NOT(ISERROR(SEARCH("NG",N14)))</formula>
    </cfRule>
  </conditionalFormatting>
  <dataValidations count="1">
    <dataValidation type="list" allowBlank="1" showInputMessage="1" showErrorMessage="1" sqref="V14:Y48 T14:T48 N14:Q48" xr:uid="{D43EF5B6-9198-47E3-B017-4AF2E8FF2B0F}">
      <formula1>"OK,NG"</formula1>
    </dataValidation>
  </dataValidations>
  <printOptions horizontalCentered="1"/>
  <pageMargins left="0" right="0" top="0.59055118110236227" bottom="0" header="0" footer="0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D6289-70A3-486D-B185-31F18090E6B6}">
  <sheetPr>
    <pageSetUpPr fitToPage="1"/>
  </sheetPr>
  <dimension ref="A1:AE53"/>
  <sheetViews>
    <sheetView view="pageBreakPreview" topLeftCell="A2" zoomScale="70" zoomScaleNormal="75" zoomScaleSheetLayoutView="70" workbookViewId="0">
      <selection activeCell="J9" sqref="J9:U9"/>
    </sheetView>
  </sheetViews>
  <sheetFormatPr defaultColWidth="9" defaultRowHeight="17.600000000000001"/>
  <cols>
    <col min="1" max="1" width="9" customWidth="1"/>
    <col min="2" max="4" width="3.5" customWidth="1"/>
    <col min="5" max="7" width="3.35546875" customWidth="1"/>
    <col min="8" max="9" width="6.7109375" customWidth="1"/>
    <col min="10" max="13" width="12.35546875" customWidth="1"/>
    <col min="14" max="15" width="10.5" customWidth="1"/>
    <col min="16" max="16" width="10.35546875" customWidth="1"/>
    <col min="17" max="17" width="10" bestFit="1" customWidth="1"/>
    <col min="18" max="19" width="9.5" customWidth="1"/>
    <col min="21" max="21" width="10" bestFit="1" customWidth="1"/>
    <col min="22" max="22" width="17.640625" customWidth="1"/>
    <col min="23" max="23" width="11.640625" customWidth="1"/>
    <col min="24" max="24" width="10" bestFit="1" customWidth="1"/>
  </cols>
  <sheetData>
    <row r="1" spans="1:31" ht="37.5" customHeight="1">
      <c r="A1" s="35" t="s">
        <v>54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7"/>
      <c r="W1" s="37"/>
      <c r="X1" s="37"/>
      <c r="Y1" s="37"/>
    </row>
    <row r="2" spans="1:31" ht="37.5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7"/>
      <c r="W2" s="37"/>
      <c r="X2" s="37"/>
      <c r="Y2" s="37"/>
    </row>
    <row r="3" spans="1:31" ht="37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 t="s">
        <v>43</v>
      </c>
      <c r="W3" s="39"/>
      <c r="X3" s="39"/>
      <c r="Y3" s="39"/>
    </row>
    <row r="4" spans="1:31" s="1" customFormat="1" ht="29.25" customHeight="1">
      <c r="A4" s="49" t="s">
        <v>41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1"/>
      <c r="M4" s="7" t="s">
        <v>12</v>
      </c>
      <c r="N4" s="7" t="s">
        <v>13</v>
      </c>
      <c r="O4" s="7" t="s">
        <v>10</v>
      </c>
      <c r="P4" s="90"/>
      <c r="Q4" s="91"/>
      <c r="R4" s="91"/>
      <c r="S4" s="91"/>
      <c r="T4" s="91"/>
      <c r="U4" s="91"/>
      <c r="V4" s="91"/>
      <c r="W4" s="91"/>
      <c r="X4" s="91"/>
      <c r="Y4" s="92"/>
    </row>
    <row r="5" spans="1:31" s="1" customFormat="1" ht="45" customHeight="1">
      <c r="A5" s="52" t="s">
        <v>56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1"/>
      <c r="M5" s="7" t="s">
        <v>16</v>
      </c>
      <c r="N5" s="7" t="s">
        <v>18</v>
      </c>
      <c r="O5" s="7" t="s">
        <v>31</v>
      </c>
      <c r="P5" s="93"/>
      <c r="Q5" s="94"/>
      <c r="R5" s="94"/>
      <c r="S5" s="94"/>
      <c r="T5" s="94"/>
      <c r="U5" s="94"/>
      <c r="V5" s="94"/>
      <c r="W5" s="94"/>
      <c r="X5" s="94"/>
      <c r="Y5" s="95"/>
    </row>
    <row r="6" spans="1:31" s="1" customFormat="1" ht="29.25" customHeight="1">
      <c r="A6" s="49" t="s">
        <v>37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1"/>
      <c r="M6" s="7" t="s">
        <v>1</v>
      </c>
      <c r="N6" s="7" t="s">
        <v>11</v>
      </c>
      <c r="O6" s="7">
        <v>1.5</v>
      </c>
      <c r="P6" s="93"/>
      <c r="Q6" s="94"/>
      <c r="R6" s="94"/>
      <c r="S6" s="94"/>
      <c r="T6" s="94"/>
      <c r="U6" s="94"/>
      <c r="V6" s="94"/>
      <c r="W6" s="94"/>
      <c r="X6" s="94"/>
      <c r="Y6" s="95"/>
      <c r="AE6"/>
    </row>
    <row r="7" spans="1:31" s="1" customFormat="1" ht="33" customHeight="1">
      <c r="A7" s="52" t="s">
        <v>46</v>
      </c>
      <c r="B7" s="86"/>
      <c r="C7" s="86"/>
      <c r="D7" s="87">
        <v>46260</v>
      </c>
      <c r="E7" s="88"/>
      <c r="F7" s="88"/>
      <c r="G7" s="88"/>
      <c r="H7" s="89"/>
      <c r="I7" s="53">
        <v>100</v>
      </c>
      <c r="J7" s="54"/>
      <c r="K7" s="54"/>
      <c r="L7" s="55"/>
      <c r="M7" s="7" t="s">
        <v>0</v>
      </c>
      <c r="N7" s="7" t="s">
        <v>18</v>
      </c>
      <c r="O7" s="7" t="s">
        <v>31</v>
      </c>
      <c r="P7" s="96"/>
      <c r="Q7" s="97"/>
      <c r="R7" s="97"/>
      <c r="S7" s="97"/>
      <c r="T7" s="97"/>
      <c r="U7" s="97"/>
      <c r="V7" s="97"/>
      <c r="W7" s="97"/>
      <c r="X7" s="97"/>
      <c r="Y7" s="98"/>
    </row>
    <row r="8" spans="1:31" ht="22.5" customHeight="1">
      <c r="A8" s="34" t="s">
        <v>35</v>
      </c>
      <c r="B8" s="28" t="s">
        <v>2</v>
      </c>
      <c r="C8" s="28"/>
      <c r="D8" s="28"/>
      <c r="E8" s="28"/>
      <c r="F8" s="28"/>
      <c r="G8" s="28"/>
      <c r="H8" s="28"/>
      <c r="I8" s="29"/>
      <c r="J8" s="99" t="s">
        <v>12</v>
      </c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1"/>
      <c r="W8" s="101"/>
      <c r="X8" s="101"/>
      <c r="Y8" s="102"/>
    </row>
    <row r="9" spans="1:31" ht="17.899999999999999" customHeight="1">
      <c r="A9" s="34"/>
      <c r="B9" s="30"/>
      <c r="C9" s="30"/>
      <c r="D9" s="30"/>
      <c r="E9" s="30"/>
      <c r="F9" s="30"/>
      <c r="G9" s="30"/>
      <c r="H9" s="30"/>
      <c r="I9" s="30"/>
      <c r="J9" s="103" t="s">
        <v>39</v>
      </c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4" t="s">
        <v>40</v>
      </c>
      <c r="W9" s="104"/>
      <c r="X9" s="104"/>
      <c r="Y9" s="105" t="s">
        <v>15</v>
      </c>
    </row>
    <row r="10" spans="1:31" ht="17.899999999999999" customHeight="1">
      <c r="A10" s="34"/>
      <c r="B10" s="30"/>
      <c r="C10" s="30"/>
      <c r="D10" s="30"/>
      <c r="E10" s="30"/>
      <c r="F10" s="30"/>
      <c r="G10" s="30"/>
      <c r="H10" s="30"/>
      <c r="I10" s="31"/>
      <c r="J10" s="59" t="s">
        <v>1</v>
      </c>
      <c r="K10" s="59"/>
      <c r="L10" s="59"/>
      <c r="M10" s="59"/>
      <c r="N10" s="9" t="s">
        <v>16</v>
      </c>
      <c r="O10" s="108" t="s">
        <v>38</v>
      </c>
      <c r="P10" s="109"/>
      <c r="Q10" s="109"/>
      <c r="R10" s="109"/>
      <c r="S10" s="109"/>
      <c r="T10" s="109"/>
      <c r="U10" s="109"/>
      <c r="V10" s="110"/>
      <c r="W10" s="110"/>
      <c r="X10" s="110"/>
      <c r="Y10" s="106"/>
    </row>
    <row r="11" spans="1:31" ht="152.25" customHeight="1">
      <c r="A11" s="34"/>
      <c r="B11" s="30"/>
      <c r="C11" s="30"/>
      <c r="D11" s="30"/>
      <c r="E11" s="30"/>
      <c r="F11" s="30"/>
      <c r="G11" s="30"/>
      <c r="H11" s="30"/>
      <c r="I11" s="31"/>
      <c r="J11" s="64" t="s">
        <v>47</v>
      </c>
      <c r="K11" s="64" t="s">
        <v>48</v>
      </c>
      <c r="L11" s="64" t="s">
        <v>49</v>
      </c>
      <c r="M11" s="64" t="s">
        <v>50</v>
      </c>
      <c r="N11" s="64" t="s">
        <v>16</v>
      </c>
      <c r="O11" s="64" t="s">
        <v>25</v>
      </c>
      <c r="P11" s="68" t="s">
        <v>26</v>
      </c>
      <c r="Q11" s="64" t="s">
        <v>19</v>
      </c>
      <c r="R11" s="66" t="s">
        <v>34</v>
      </c>
      <c r="S11" s="67"/>
      <c r="T11" s="64" t="s">
        <v>9</v>
      </c>
      <c r="U11" s="68" t="s">
        <v>52</v>
      </c>
      <c r="V11" s="80" t="s">
        <v>55</v>
      </c>
      <c r="W11" s="68" t="s">
        <v>64</v>
      </c>
      <c r="X11" s="80" t="s">
        <v>44</v>
      </c>
      <c r="Y11" s="106"/>
    </row>
    <row r="12" spans="1:31" ht="39.75" customHeight="1">
      <c r="A12" s="34"/>
      <c r="B12" s="30"/>
      <c r="C12" s="30"/>
      <c r="D12" s="30"/>
      <c r="E12" s="30"/>
      <c r="F12" s="30"/>
      <c r="G12" s="30"/>
      <c r="H12" s="30"/>
      <c r="I12" s="31"/>
      <c r="J12" s="65"/>
      <c r="K12" s="65"/>
      <c r="L12" s="65"/>
      <c r="M12" s="65"/>
      <c r="N12" s="65"/>
      <c r="O12" s="65"/>
      <c r="P12" s="69"/>
      <c r="Q12" s="65"/>
      <c r="R12" s="21" t="s">
        <v>33</v>
      </c>
      <c r="S12" s="21" t="s">
        <v>32</v>
      </c>
      <c r="T12" s="65"/>
      <c r="U12" s="69"/>
      <c r="V12" s="81"/>
      <c r="W12" s="69"/>
      <c r="X12" s="81"/>
      <c r="Y12" s="106"/>
    </row>
    <row r="13" spans="1:31" s="2" customFormat="1" ht="27.75" customHeight="1">
      <c r="A13" s="34"/>
      <c r="B13" s="32"/>
      <c r="C13" s="32"/>
      <c r="D13" s="32"/>
      <c r="E13" s="32"/>
      <c r="F13" s="32"/>
      <c r="G13" s="32"/>
      <c r="H13" s="32"/>
      <c r="I13" s="33"/>
      <c r="J13" s="82">
        <f>MIN($I$7, _xlfn.IFS($I$7&lt;=8,2, $I$7&lt;=15,2, $I$7&lt;=25,3, $I$7&lt;=50,5, $I$7&lt;=90,5, $I$7&lt;=150,8, $I$7&lt;=280,13, $I$7&lt;=500,20, $I$7&lt;=1200,32, $I$7&lt;=3200,50, $I$7&lt;=10000,88, $I$7&lt;=35000,125, $I$7&lt;=150000,200, $I$7&lt;=500000,315, $I$7&gt;=500001,500))</f>
        <v>8</v>
      </c>
      <c r="K13" s="82"/>
      <c r="L13" s="82"/>
      <c r="M13" s="82"/>
      <c r="N13" s="83" t="s">
        <v>53</v>
      </c>
      <c r="O13" s="84"/>
      <c r="P13" s="84"/>
      <c r="Q13" s="84"/>
      <c r="R13" s="84"/>
      <c r="S13" s="84"/>
      <c r="T13" s="84"/>
      <c r="U13" s="84"/>
      <c r="V13" s="84"/>
      <c r="W13" s="84"/>
      <c r="X13" s="85"/>
      <c r="Y13" s="107"/>
    </row>
    <row r="14" spans="1:31" ht="36.75" customHeight="1">
      <c r="A14" s="10">
        <v>71</v>
      </c>
      <c r="B14" s="113" t="s">
        <v>59</v>
      </c>
      <c r="C14" s="113"/>
      <c r="D14" s="113"/>
      <c r="E14" s="70"/>
      <c r="F14" s="70"/>
      <c r="G14" s="70"/>
      <c r="H14" s="70" t="s">
        <v>36</v>
      </c>
      <c r="I14" s="71"/>
      <c r="J14" s="11"/>
      <c r="K14" s="11"/>
      <c r="L14" s="11"/>
      <c r="M14" s="11"/>
      <c r="N14" s="12"/>
      <c r="O14" s="10"/>
      <c r="P14" s="11"/>
      <c r="Q14" s="10"/>
      <c r="R14" s="11"/>
      <c r="S14" s="11"/>
      <c r="T14" s="10"/>
      <c r="U14" s="10"/>
      <c r="V14" s="22"/>
      <c r="W14" s="10"/>
      <c r="X14" s="10"/>
      <c r="Y14" s="10"/>
    </row>
    <row r="15" spans="1:31" ht="36.75" customHeight="1">
      <c r="A15" s="10">
        <v>72</v>
      </c>
      <c r="B15" s="113" t="s">
        <v>59</v>
      </c>
      <c r="C15" s="113"/>
      <c r="D15" s="113"/>
      <c r="E15" s="70"/>
      <c r="F15" s="70"/>
      <c r="G15" s="70"/>
      <c r="H15" s="70" t="s">
        <v>36</v>
      </c>
      <c r="I15" s="71"/>
      <c r="J15" s="11"/>
      <c r="K15" s="11"/>
      <c r="L15" s="11"/>
      <c r="M15" s="11"/>
      <c r="N15" s="12"/>
      <c r="O15" s="10"/>
      <c r="P15" s="11"/>
      <c r="Q15" s="10"/>
      <c r="R15" s="11"/>
      <c r="S15" s="11"/>
      <c r="T15" s="10"/>
      <c r="U15" s="10"/>
      <c r="V15" s="22"/>
      <c r="W15" s="10"/>
      <c r="X15" s="10"/>
      <c r="Y15" s="10"/>
    </row>
    <row r="16" spans="1:31" ht="36.75" customHeight="1">
      <c r="A16" s="10">
        <v>73</v>
      </c>
      <c r="B16" s="113" t="s">
        <v>59</v>
      </c>
      <c r="C16" s="113"/>
      <c r="D16" s="113"/>
      <c r="E16" s="70"/>
      <c r="F16" s="70"/>
      <c r="G16" s="70"/>
      <c r="H16" s="70" t="s">
        <v>36</v>
      </c>
      <c r="I16" s="71"/>
      <c r="J16" s="11"/>
      <c r="K16" s="11"/>
      <c r="L16" s="11"/>
      <c r="M16" s="11"/>
      <c r="N16" s="12"/>
      <c r="O16" s="10"/>
      <c r="P16" s="11"/>
      <c r="Q16" s="10"/>
      <c r="R16" s="11"/>
      <c r="S16" s="11"/>
      <c r="T16" s="10"/>
      <c r="U16" s="10"/>
      <c r="V16" s="22"/>
      <c r="W16" s="10"/>
      <c r="X16" s="10"/>
      <c r="Y16" s="10"/>
    </row>
    <row r="17" spans="1:25" ht="36.75" customHeight="1">
      <c r="A17" s="10">
        <v>74</v>
      </c>
      <c r="B17" s="113" t="s">
        <v>59</v>
      </c>
      <c r="C17" s="113"/>
      <c r="D17" s="113"/>
      <c r="E17" s="70"/>
      <c r="F17" s="70"/>
      <c r="G17" s="70"/>
      <c r="H17" s="70" t="s">
        <v>36</v>
      </c>
      <c r="I17" s="71"/>
      <c r="J17" s="11"/>
      <c r="K17" s="11"/>
      <c r="L17" s="11"/>
      <c r="M17" s="11"/>
      <c r="N17" s="12"/>
      <c r="O17" s="10"/>
      <c r="P17" s="11"/>
      <c r="Q17" s="10"/>
      <c r="R17" s="11"/>
      <c r="S17" s="11"/>
      <c r="T17" s="10"/>
      <c r="U17" s="10"/>
      <c r="V17" s="22"/>
      <c r="W17" s="10"/>
      <c r="X17" s="10"/>
      <c r="Y17" s="10"/>
    </row>
    <row r="18" spans="1:25" ht="36.75" customHeight="1">
      <c r="A18" s="10">
        <v>75</v>
      </c>
      <c r="B18" s="113" t="s">
        <v>59</v>
      </c>
      <c r="C18" s="113"/>
      <c r="D18" s="113"/>
      <c r="E18" s="70"/>
      <c r="F18" s="70"/>
      <c r="G18" s="70"/>
      <c r="H18" s="70" t="s">
        <v>36</v>
      </c>
      <c r="I18" s="71"/>
      <c r="J18" s="11"/>
      <c r="K18" s="11"/>
      <c r="L18" s="11"/>
      <c r="M18" s="11"/>
      <c r="N18" s="12"/>
      <c r="O18" s="10"/>
      <c r="P18" s="11"/>
      <c r="Q18" s="10"/>
      <c r="R18" s="11"/>
      <c r="S18" s="11"/>
      <c r="T18" s="10"/>
      <c r="U18" s="10"/>
      <c r="V18" s="22"/>
      <c r="W18" s="10"/>
      <c r="X18" s="10"/>
      <c r="Y18" s="10"/>
    </row>
    <row r="19" spans="1:25" ht="36.75" customHeight="1">
      <c r="A19" s="10">
        <v>76</v>
      </c>
      <c r="B19" s="113" t="s">
        <v>59</v>
      </c>
      <c r="C19" s="113"/>
      <c r="D19" s="113"/>
      <c r="E19" s="70"/>
      <c r="F19" s="70"/>
      <c r="G19" s="70"/>
      <c r="H19" s="70" t="s">
        <v>36</v>
      </c>
      <c r="I19" s="71"/>
      <c r="J19" s="11"/>
      <c r="K19" s="11"/>
      <c r="L19" s="11"/>
      <c r="M19" s="11"/>
      <c r="N19" s="12"/>
      <c r="O19" s="10"/>
      <c r="P19" s="11"/>
      <c r="Q19" s="10"/>
      <c r="R19" s="11"/>
      <c r="S19" s="11"/>
      <c r="T19" s="10"/>
      <c r="U19" s="10"/>
      <c r="V19" s="22"/>
      <c r="W19" s="10"/>
      <c r="X19" s="10"/>
      <c r="Y19" s="10"/>
    </row>
    <row r="20" spans="1:25" ht="36.75" customHeight="1">
      <c r="A20" s="10">
        <v>77</v>
      </c>
      <c r="B20" s="113" t="s">
        <v>59</v>
      </c>
      <c r="C20" s="113"/>
      <c r="D20" s="113"/>
      <c r="E20" s="70"/>
      <c r="F20" s="70"/>
      <c r="G20" s="70"/>
      <c r="H20" s="70" t="s">
        <v>36</v>
      </c>
      <c r="I20" s="71"/>
      <c r="J20" s="11"/>
      <c r="K20" s="11"/>
      <c r="L20" s="11"/>
      <c r="M20" s="11"/>
      <c r="N20" s="12"/>
      <c r="O20" s="10"/>
      <c r="P20" s="11"/>
      <c r="Q20" s="10"/>
      <c r="R20" s="11"/>
      <c r="S20" s="11"/>
      <c r="T20" s="10"/>
      <c r="U20" s="10"/>
      <c r="V20" s="22"/>
      <c r="W20" s="10"/>
      <c r="X20" s="10"/>
      <c r="Y20" s="10"/>
    </row>
    <row r="21" spans="1:25" ht="36.75" customHeight="1">
      <c r="A21" s="10">
        <v>78</v>
      </c>
      <c r="B21" s="113" t="s">
        <v>59</v>
      </c>
      <c r="C21" s="113"/>
      <c r="D21" s="113"/>
      <c r="E21" s="70"/>
      <c r="F21" s="70"/>
      <c r="G21" s="70"/>
      <c r="H21" s="70" t="s">
        <v>36</v>
      </c>
      <c r="I21" s="71"/>
      <c r="J21" s="11"/>
      <c r="K21" s="11"/>
      <c r="L21" s="11"/>
      <c r="M21" s="11"/>
      <c r="N21" s="12"/>
      <c r="O21" s="10"/>
      <c r="P21" s="11"/>
      <c r="Q21" s="10"/>
      <c r="R21" s="11"/>
      <c r="S21" s="11"/>
      <c r="T21" s="10"/>
      <c r="U21" s="10"/>
      <c r="V21" s="22"/>
      <c r="W21" s="10"/>
      <c r="X21" s="10"/>
      <c r="Y21" s="10"/>
    </row>
    <row r="22" spans="1:25" ht="36.75" customHeight="1">
      <c r="A22" s="10">
        <v>79</v>
      </c>
      <c r="B22" s="113" t="s">
        <v>59</v>
      </c>
      <c r="C22" s="113"/>
      <c r="D22" s="113"/>
      <c r="E22" s="70"/>
      <c r="F22" s="70"/>
      <c r="G22" s="70"/>
      <c r="H22" s="70" t="s">
        <v>36</v>
      </c>
      <c r="I22" s="71"/>
      <c r="J22" s="11"/>
      <c r="K22" s="11"/>
      <c r="L22" s="11"/>
      <c r="M22" s="11"/>
      <c r="N22" s="12"/>
      <c r="O22" s="10"/>
      <c r="P22" s="11"/>
      <c r="Q22" s="10"/>
      <c r="R22" s="11"/>
      <c r="S22" s="11"/>
      <c r="T22" s="10"/>
      <c r="U22" s="10"/>
      <c r="V22" s="22"/>
      <c r="W22" s="10"/>
      <c r="X22" s="10"/>
      <c r="Y22" s="10"/>
    </row>
    <row r="23" spans="1:25" ht="36.75" customHeight="1">
      <c r="A23" s="10">
        <v>80</v>
      </c>
      <c r="B23" s="113" t="s">
        <v>59</v>
      </c>
      <c r="C23" s="113"/>
      <c r="D23" s="113"/>
      <c r="E23" s="70"/>
      <c r="F23" s="70"/>
      <c r="G23" s="70"/>
      <c r="H23" s="70" t="s">
        <v>36</v>
      </c>
      <c r="I23" s="71"/>
      <c r="J23" s="11"/>
      <c r="K23" s="11"/>
      <c r="L23" s="11"/>
      <c r="M23" s="11"/>
      <c r="N23" s="12"/>
      <c r="O23" s="10"/>
      <c r="P23" s="11"/>
      <c r="Q23" s="10"/>
      <c r="R23" s="11"/>
      <c r="S23" s="11"/>
      <c r="T23" s="10"/>
      <c r="U23" s="10"/>
      <c r="V23" s="22"/>
      <c r="W23" s="10"/>
      <c r="X23" s="10"/>
      <c r="Y23" s="10"/>
    </row>
    <row r="24" spans="1:25" ht="36.75" customHeight="1">
      <c r="A24" s="10">
        <v>81</v>
      </c>
      <c r="B24" s="113" t="s">
        <v>59</v>
      </c>
      <c r="C24" s="113"/>
      <c r="D24" s="113"/>
      <c r="E24" s="70"/>
      <c r="F24" s="70"/>
      <c r="G24" s="70"/>
      <c r="H24" s="70" t="s">
        <v>36</v>
      </c>
      <c r="I24" s="71"/>
      <c r="J24" s="11"/>
      <c r="K24" s="11"/>
      <c r="L24" s="11"/>
      <c r="M24" s="11"/>
      <c r="N24" s="12"/>
      <c r="O24" s="10"/>
      <c r="P24" s="11"/>
      <c r="Q24" s="10"/>
      <c r="R24" s="11"/>
      <c r="S24" s="11"/>
      <c r="T24" s="10"/>
      <c r="U24" s="10"/>
      <c r="V24" s="22"/>
      <c r="W24" s="10"/>
      <c r="X24" s="10"/>
      <c r="Y24" s="10"/>
    </row>
    <row r="25" spans="1:25" ht="36.75" customHeight="1">
      <c r="A25" s="10">
        <v>82</v>
      </c>
      <c r="B25" s="113" t="s">
        <v>59</v>
      </c>
      <c r="C25" s="113"/>
      <c r="D25" s="113"/>
      <c r="E25" s="70"/>
      <c r="F25" s="70"/>
      <c r="G25" s="70"/>
      <c r="H25" s="70" t="s">
        <v>36</v>
      </c>
      <c r="I25" s="71"/>
      <c r="J25" s="11"/>
      <c r="K25" s="11"/>
      <c r="L25" s="11"/>
      <c r="M25" s="11"/>
      <c r="N25" s="12"/>
      <c r="O25" s="10"/>
      <c r="P25" s="11"/>
      <c r="Q25" s="10"/>
      <c r="R25" s="11"/>
      <c r="S25" s="11"/>
      <c r="T25" s="10"/>
      <c r="U25" s="10"/>
      <c r="V25" s="22"/>
      <c r="W25" s="10"/>
      <c r="X25" s="10"/>
      <c r="Y25" s="10"/>
    </row>
    <row r="26" spans="1:25" ht="36.75" customHeight="1">
      <c r="A26" s="10">
        <v>83</v>
      </c>
      <c r="B26" s="113" t="s">
        <v>59</v>
      </c>
      <c r="C26" s="113"/>
      <c r="D26" s="113"/>
      <c r="E26" s="70"/>
      <c r="F26" s="70"/>
      <c r="G26" s="70"/>
      <c r="H26" s="70" t="s">
        <v>36</v>
      </c>
      <c r="I26" s="71"/>
      <c r="J26" s="11"/>
      <c r="K26" s="11"/>
      <c r="L26" s="11"/>
      <c r="M26" s="11"/>
      <c r="N26" s="12"/>
      <c r="O26" s="10"/>
      <c r="P26" s="11"/>
      <c r="Q26" s="10"/>
      <c r="R26" s="11"/>
      <c r="S26" s="11"/>
      <c r="T26" s="10"/>
      <c r="U26" s="10"/>
      <c r="V26" s="22"/>
      <c r="W26" s="10"/>
      <c r="X26" s="10"/>
      <c r="Y26" s="10"/>
    </row>
    <row r="27" spans="1:25" ht="36.75" customHeight="1">
      <c r="A27" s="10">
        <v>84</v>
      </c>
      <c r="B27" s="113" t="s">
        <v>59</v>
      </c>
      <c r="C27" s="113"/>
      <c r="D27" s="113"/>
      <c r="E27" s="70"/>
      <c r="F27" s="70"/>
      <c r="G27" s="70"/>
      <c r="H27" s="70" t="s">
        <v>36</v>
      </c>
      <c r="I27" s="71"/>
      <c r="J27" s="11"/>
      <c r="K27" s="11"/>
      <c r="L27" s="11"/>
      <c r="M27" s="11"/>
      <c r="N27" s="12"/>
      <c r="O27" s="10"/>
      <c r="P27" s="11"/>
      <c r="Q27" s="10"/>
      <c r="R27" s="11"/>
      <c r="S27" s="11"/>
      <c r="T27" s="10"/>
      <c r="U27" s="10"/>
      <c r="V27" s="22"/>
      <c r="W27" s="10"/>
      <c r="X27" s="10"/>
      <c r="Y27" s="10"/>
    </row>
    <row r="28" spans="1:25" ht="36.75" customHeight="1">
      <c r="A28" s="10">
        <v>85</v>
      </c>
      <c r="B28" s="113" t="s">
        <v>59</v>
      </c>
      <c r="C28" s="113"/>
      <c r="D28" s="113"/>
      <c r="E28" s="70"/>
      <c r="F28" s="70"/>
      <c r="G28" s="70"/>
      <c r="H28" s="70" t="s">
        <v>36</v>
      </c>
      <c r="I28" s="71"/>
      <c r="J28" s="11"/>
      <c r="K28" s="11"/>
      <c r="L28" s="11"/>
      <c r="M28" s="11"/>
      <c r="N28" s="12"/>
      <c r="O28" s="10"/>
      <c r="P28" s="11"/>
      <c r="Q28" s="10"/>
      <c r="R28" s="11"/>
      <c r="S28" s="11"/>
      <c r="T28" s="10"/>
      <c r="U28" s="10"/>
      <c r="V28" s="22"/>
      <c r="W28" s="10"/>
      <c r="X28" s="10"/>
      <c r="Y28" s="10"/>
    </row>
    <row r="29" spans="1:25" ht="36.75" customHeight="1">
      <c r="A29" s="10">
        <v>86</v>
      </c>
      <c r="B29" s="113" t="s">
        <v>59</v>
      </c>
      <c r="C29" s="113"/>
      <c r="D29" s="113"/>
      <c r="E29" s="70"/>
      <c r="F29" s="70"/>
      <c r="G29" s="70"/>
      <c r="H29" s="70" t="s">
        <v>36</v>
      </c>
      <c r="I29" s="71"/>
      <c r="J29" s="11"/>
      <c r="K29" s="11"/>
      <c r="L29" s="11"/>
      <c r="M29" s="11"/>
      <c r="N29" s="12"/>
      <c r="O29" s="10"/>
      <c r="P29" s="11"/>
      <c r="Q29" s="10"/>
      <c r="R29" s="11"/>
      <c r="S29" s="11"/>
      <c r="T29" s="10"/>
      <c r="U29" s="10"/>
      <c r="V29" s="22"/>
      <c r="W29" s="10"/>
      <c r="X29" s="10"/>
      <c r="Y29" s="10"/>
    </row>
    <row r="30" spans="1:25" ht="36.75" customHeight="1">
      <c r="A30" s="10">
        <v>87</v>
      </c>
      <c r="B30" s="113" t="s">
        <v>59</v>
      </c>
      <c r="C30" s="113"/>
      <c r="D30" s="113"/>
      <c r="E30" s="70"/>
      <c r="F30" s="70"/>
      <c r="G30" s="70"/>
      <c r="H30" s="70" t="s">
        <v>36</v>
      </c>
      <c r="I30" s="71"/>
      <c r="J30" s="11"/>
      <c r="K30" s="11"/>
      <c r="L30" s="11"/>
      <c r="M30" s="11"/>
      <c r="N30" s="12"/>
      <c r="O30" s="10"/>
      <c r="P30" s="11"/>
      <c r="Q30" s="10"/>
      <c r="R30" s="11"/>
      <c r="S30" s="11"/>
      <c r="T30" s="10"/>
      <c r="U30" s="10"/>
      <c r="V30" s="22"/>
      <c r="W30" s="10"/>
      <c r="X30" s="10"/>
      <c r="Y30" s="10"/>
    </row>
    <row r="31" spans="1:25" ht="36.75" customHeight="1">
      <c r="A31" s="10">
        <v>88</v>
      </c>
      <c r="B31" s="113" t="s">
        <v>59</v>
      </c>
      <c r="C31" s="113"/>
      <c r="D31" s="113"/>
      <c r="E31" s="70"/>
      <c r="F31" s="70"/>
      <c r="G31" s="70"/>
      <c r="H31" s="70" t="s">
        <v>36</v>
      </c>
      <c r="I31" s="71"/>
      <c r="J31" s="11"/>
      <c r="K31" s="11"/>
      <c r="L31" s="11"/>
      <c r="M31" s="11"/>
      <c r="N31" s="12"/>
      <c r="O31" s="10"/>
      <c r="P31" s="11"/>
      <c r="Q31" s="10"/>
      <c r="R31" s="11"/>
      <c r="S31" s="11"/>
      <c r="T31" s="10"/>
      <c r="U31" s="10"/>
      <c r="V31" s="22"/>
      <c r="W31" s="10"/>
      <c r="X31" s="10"/>
      <c r="Y31" s="10"/>
    </row>
    <row r="32" spans="1:25" ht="36.75" customHeight="1">
      <c r="A32" s="10">
        <v>89</v>
      </c>
      <c r="B32" s="113" t="s">
        <v>59</v>
      </c>
      <c r="C32" s="113"/>
      <c r="D32" s="113"/>
      <c r="E32" s="70"/>
      <c r="F32" s="70"/>
      <c r="G32" s="70"/>
      <c r="H32" s="70" t="s">
        <v>36</v>
      </c>
      <c r="I32" s="71"/>
      <c r="J32" s="11"/>
      <c r="K32" s="11"/>
      <c r="L32" s="11"/>
      <c r="M32" s="11"/>
      <c r="N32" s="12"/>
      <c r="O32" s="10"/>
      <c r="P32" s="11"/>
      <c r="Q32" s="10"/>
      <c r="R32" s="11"/>
      <c r="S32" s="11"/>
      <c r="T32" s="10"/>
      <c r="U32" s="10"/>
      <c r="V32" s="22"/>
      <c r="W32" s="10"/>
      <c r="X32" s="10"/>
      <c r="Y32" s="10"/>
    </row>
    <row r="33" spans="1:25" ht="36.75" customHeight="1">
      <c r="A33" s="10">
        <v>90</v>
      </c>
      <c r="B33" s="113" t="s">
        <v>59</v>
      </c>
      <c r="C33" s="113"/>
      <c r="D33" s="113"/>
      <c r="E33" s="70"/>
      <c r="F33" s="70"/>
      <c r="G33" s="70"/>
      <c r="H33" s="70" t="s">
        <v>36</v>
      </c>
      <c r="I33" s="71"/>
      <c r="J33" s="11"/>
      <c r="K33" s="11"/>
      <c r="L33" s="11"/>
      <c r="M33" s="11"/>
      <c r="N33" s="12"/>
      <c r="O33" s="10"/>
      <c r="P33" s="11"/>
      <c r="Q33" s="10"/>
      <c r="R33" s="11"/>
      <c r="S33" s="11"/>
      <c r="T33" s="10"/>
      <c r="U33" s="10"/>
      <c r="V33" s="22"/>
      <c r="W33" s="10"/>
      <c r="X33" s="10"/>
      <c r="Y33" s="10"/>
    </row>
    <row r="34" spans="1:25" ht="36.75" customHeight="1">
      <c r="A34" s="10">
        <v>91</v>
      </c>
      <c r="B34" s="113" t="s">
        <v>59</v>
      </c>
      <c r="C34" s="113"/>
      <c r="D34" s="113"/>
      <c r="E34" s="70"/>
      <c r="F34" s="70"/>
      <c r="G34" s="70"/>
      <c r="H34" s="70" t="s">
        <v>36</v>
      </c>
      <c r="I34" s="71"/>
      <c r="J34" s="11"/>
      <c r="K34" s="11"/>
      <c r="L34" s="11"/>
      <c r="M34" s="11"/>
      <c r="N34" s="12"/>
      <c r="O34" s="10"/>
      <c r="P34" s="11"/>
      <c r="Q34" s="10"/>
      <c r="R34" s="11"/>
      <c r="S34" s="11"/>
      <c r="T34" s="10"/>
      <c r="U34" s="10"/>
      <c r="V34" s="22"/>
      <c r="W34" s="10"/>
      <c r="X34" s="10"/>
      <c r="Y34" s="10"/>
    </row>
    <row r="35" spans="1:25" ht="36.75" customHeight="1">
      <c r="A35" s="10">
        <v>92</v>
      </c>
      <c r="B35" s="113" t="s">
        <v>59</v>
      </c>
      <c r="C35" s="113"/>
      <c r="D35" s="113"/>
      <c r="E35" s="70"/>
      <c r="F35" s="70"/>
      <c r="G35" s="70"/>
      <c r="H35" s="70" t="s">
        <v>36</v>
      </c>
      <c r="I35" s="71"/>
      <c r="J35" s="11"/>
      <c r="K35" s="11"/>
      <c r="L35" s="11"/>
      <c r="M35" s="11"/>
      <c r="N35" s="12"/>
      <c r="O35" s="10"/>
      <c r="P35" s="11"/>
      <c r="Q35" s="10"/>
      <c r="R35" s="11"/>
      <c r="S35" s="11"/>
      <c r="T35" s="10"/>
      <c r="U35" s="10"/>
      <c r="V35" s="22"/>
      <c r="W35" s="10"/>
      <c r="X35" s="10"/>
      <c r="Y35" s="10"/>
    </row>
    <row r="36" spans="1:25" ht="36.75" customHeight="1">
      <c r="A36" s="10">
        <v>93</v>
      </c>
      <c r="B36" s="113" t="s">
        <v>59</v>
      </c>
      <c r="C36" s="113"/>
      <c r="D36" s="113"/>
      <c r="E36" s="70"/>
      <c r="F36" s="70"/>
      <c r="G36" s="70"/>
      <c r="H36" s="70" t="s">
        <v>36</v>
      </c>
      <c r="I36" s="71"/>
      <c r="J36" s="11"/>
      <c r="K36" s="11"/>
      <c r="L36" s="11"/>
      <c r="M36" s="11"/>
      <c r="N36" s="12"/>
      <c r="O36" s="10"/>
      <c r="P36" s="11"/>
      <c r="Q36" s="10"/>
      <c r="R36" s="11"/>
      <c r="S36" s="11"/>
      <c r="T36" s="10"/>
      <c r="U36" s="10"/>
      <c r="V36" s="22"/>
      <c r="W36" s="10"/>
      <c r="X36" s="10"/>
      <c r="Y36" s="10"/>
    </row>
    <row r="37" spans="1:25" ht="36.75" customHeight="1">
      <c r="A37" s="10">
        <v>94</v>
      </c>
      <c r="B37" s="113" t="s">
        <v>59</v>
      </c>
      <c r="C37" s="113"/>
      <c r="D37" s="113"/>
      <c r="E37" s="70"/>
      <c r="F37" s="70"/>
      <c r="G37" s="70"/>
      <c r="H37" s="70" t="s">
        <v>36</v>
      </c>
      <c r="I37" s="71"/>
      <c r="J37" s="11"/>
      <c r="K37" s="11"/>
      <c r="L37" s="11"/>
      <c r="M37" s="11"/>
      <c r="N37" s="12"/>
      <c r="O37" s="10"/>
      <c r="P37" s="11"/>
      <c r="Q37" s="10"/>
      <c r="R37" s="11"/>
      <c r="S37" s="11"/>
      <c r="T37" s="10"/>
      <c r="U37" s="10"/>
      <c r="V37" s="22"/>
      <c r="W37" s="10"/>
      <c r="X37" s="10"/>
      <c r="Y37" s="10"/>
    </row>
    <row r="38" spans="1:25" ht="36.75" customHeight="1">
      <c r="A38" s="10">
        <v>95</v>
      </c>
      <c r="B38" s="113" t="s">
        <v>59</v>
      </c>
      <c r="C38" s="113"/>
      <c r="D38" s="113"/>
      <c r="E38" s="70"/>
      <c r="F38" s="70"/>
      <c r="G38" s="70"/>
      <c r="H38" s="70" t="s">
        <v>36</v>
      </c>
      <c r="I38" s="71"/>
      <c r="J38" s="11"/>
      <c r="K38" s="11"/>
      <c r="L38" s="11"/>
      <c r="M38" s="11"/>
      <c r="N38" s="12"/>
      <c r="O38" s="10"/>
      <c r="P38" s="11"/>
      <c r="Q38" s="10"/>
      <c r="R38" s="11"/>
      <c r="S38" s="11"/>
      <c r="T38" s="10"/>
      <c r="U38" s="10"/>
      <c r="V38" s="22"/>
      <c r="W38" s="10"/>
      <c r="X38" s="10"/>
      <c r="Y38" s="10"/>
    </row>
    <row r="39" spans="1:25" ht="36.75" customHeight="1">
      <c r="A39" s="10">
        <v>96</v>
      </c>
      <c r="B39" s="113" t="s">
        <v>59</v>
      </c>
      <c r="C39" s="113"/>
      <c r="D39" s="113"/>
      <c r="E39" s="70"/>
      <c r="F39" s="70"/>
      <c r="G39" s="70"/>
      <c r="H39" s="70" t="s">
        <v>36</v>
      </c>
      <c r="I39" s="71"/>
      <c r="J39" s="11"/>
      <c r="K39" s="11"/>
      <c r="L39" s="11"/>
      <c r="M39" s="11"/>
      <c r="N39" s="12"/>
      <c r="O39" s="10"/>
      <c r="P39" s="11"/>
      <c r="Q39" s="10"/>
      <c r="R39" s="11"/>
      <c r="S39" s="11"/>
      <c r="T39" s="10"/>
      <c r="U39" s="10"/>
      <c r="V39" s="22"/>
      <c r="W39" s="10"/>
      <c r="X39" s="10"/>
      <c r="Y39" s="10"/>
    </row>
    <row r="40" spans="1:25" ht="36.75" customHeight="1">
      <c r="A40" s="10">
        <v>97</v>
      </c>
      <c r="B40" s="113" t="s">
        <v>59</v>
      </c>
      <c r="C40" s="113"/>
      <c r="D40" s="113"/>
      <c r="E40" s="70"/>
      <c r="F40" s="70"/>
      <c r="G40" s="70"/>
      <c r="H40" s="70" t="s">
        <v>36</v>
      </c>
      <c r="I40" s="71"/>
      <c r="J40" s="11"/>
      <c r="K40" s="11"/>
      <c r="L40" s="11"/>
      <c r="M40" s="11"/>
      <c r="N40" s="12"/>
      <c r="O40" s="10"/>
      <c r="P40" s="11"/>
      <c r="Q40" s="10"/>
      <c r="R40" s="11"/>
      <c r="S40" s="11"/>
      <c r="T40" s="10"/>
      <c r="U40" s="10"/>
      <c r="V40" s="22"/>
      <c r="W40" s="10"/>
      <c r="X40" s="10"/>
      <c r="Y40" s="10"/>
    </row>
    <row r="41" spans="1:25" ht="36.75" customHeight="1">
      <c r="A41" s="10">
        <v>98</v>
      </c>
      <c r="B41" s="113" t="s">
        <v>59</v>
      </c>
      <c r="C41" s="113"/>
      <c r="D41" s="113"/>
      <c r="E41" s="70"/>
      <c r="F41" s="70"/>
      <c r="G41" s="70"/>
      <c r="H41" s="70" t="s">
        <v>36</v>
      </c>
      <c r="I41" s="71"/>
      <c r="J41" s="11"/>
      <c r="K41" s="11"/>
      <c r="L41" s="11"/>
      <c r="M41" s="11"/>
      <c r="N41" s="12"/>
      <c r="O41" s="10"/>
      <c r="P41" s="11"/>
      <c r="Q41" s="10"/>
      <c r="R41" s="11"/>
      <c r="S41" s="11"/>
      <c r="T41" s="10"/>
      <c r="U41" s="10"/>
      <c r="V41" s="22"/>
      <c r="W41" s="10"/>
      <c r="X41" s="10"/>
      <c r="Y41" s="10"/>
    </row>
    <row r="42" spans="1:25" ht="36.75" customHeight="1">
      <c r="A42" s="10">
        <v>99</v>
      </c>
      <c r="B42" s="113" t="s">
        <v>59</v>
      </c>
      <c r="C42" s="113"/>
      <c r="D42" s="113"/>
      <c r="E42" s="70"/>
      <c r="F42" s="70"/>
      <c r="G42" s="70"/>
      <c r="H42" s="70" t="s">
        <v>36</v>
      </c>
      <c r="I42" s="71"/>
      <c r="J42" s="11"/>
      <c r="K42" s="11"/>
      <c r="L42" s="11"/>
      <c r="M42" s="11"/>
      <c r="N42" s="12"/>
      <c r="O42" s="10"/>
      <c r="P42" s="11"/>
      <c r="Q42" s="10"/>
      <c r="R42" s="11"/>
      <c r="S42" s="11"/>
      <c r="T42" s="10"/>
      <c r="U42" s="10"/>
      <c r="V42" s="22"/>
      <c r="W42" s="10"/>
      <c r="X42" s="10"/>
      <c r="Y42" s="10"/>
    </row>
    <row r="43" spans="1:25" ht="36.75" customHeight="1">
      <c r="A43" s="10">
        <v>100</v>
      </c>
      <c r="B43" s="113" t="s">
        <v>59</v>
      </c>
      <c r="C43" s="113"/>
      <c r="D43" s="113"/>
      <c r="E43" s="70"/>
      <c r="F43" s="70"/>
      <c r="G43" s="70"/>
      <c r="H43" s="70" t="s">
        <v>36</v>
      </c>
      <c r="I43" s="71"/>
      <c r="J43" s="11"/>
      <c r="K43" s="11"/>
      <c r="L43" s="11"/>
      <c r="M43" s="11"/>
      <c r="N43" s="12"/>
      <c r="O43" s="10"/>
      <c r="P43" s="11"/>
      <c r="Q43" s="10"/>
      <c r="R43" s="11"/>
      <c r="S43" s="11"/>
      <c r="T43" s="10"/>
      <c r="U43" s="10"/>
      <c r="V43" s="22"/>
      <c r="W43" s="10"/>
      <c r="X43" s="10"/>
      <c r="Y43" s="10"/>
    </row>
    <row r="44" spans="1:25" ht="36.75" customHeight="1">
      <c r="A44" s="10"/>
      <c r="B44" s="70"/>
      <c r="C44" s="70"/>
      <c r="D44" s="70"/>
      <c r="E44" s="70"/>
      <c r="F44" s="70"/>
      <c r="G44" s="70"/>
      <c r="H44" s="70" t="s">
        <v>36</v>
      </c>
      <c r="I44" s="71"/>
      <c r="J44" s="11"/>
      <c r="K44" s="11"/>
      <c r="L44" s="11"/>
      <c r="M44" s="11"/>
      <c r="N44" s="12"/>
      <c r="O44" s="10"/>
      <c r="P44" s="11"/>
      <c r="Q44" s="10"/>
      <c r="R44" s="11"/>
      <c r="S44" s="11"/>
      <c r="T44" s="10"/>
      <c r="U44" s="10"/>
      <c r="V44" s="22"/>
      <c r="W44" s="10"/>
      <c r="X44" s="10"/>
      <c r="Y44" s="10"/>
    </row>
    <row r="45" spans="1:25" ht="36.75" customHeight="1">
      <c r="A45" s="10"/>
      <c r="B45" s="70"/>
      <c r="C45" s="70"/>
      <c r="D45" s="70"/>
      <c r="E45" s="70"/>
      <c r="F45" s="70"/>
      <c r="G45" s="70"/>
      <c r="H45" s="70" t="s">
        <v>36</v>
      </c>
      <c r="I45" s="71"/>
      <c r="J45" s="11"/>
      <c r="K45" s="11"/>
      <c r="L45" s="11"/>
      <c r="M45" s="11"/>
      <c r="N45" s="12"/>
      <c r="O45" s="10"/>
      <c r="P45" s="11"/>
      <c r="Q45" s="10"/>
      <c r="R45" s="11"/>
      <c r="S45" s="11"/>
      <c r="T45" s="10"/>
      <c r="U45" s="10"/>
      <c r="V45" s="22"/>
      <c r="W45" s="10"/>
      <c r="X45" s="10"/>
      <c r="Y45" s="10"/>
    </row>
    <row r="46" spans="1:25" ht="36.75" customHeight="1">
      <c r="A46" s="10"/>
      <c r="B46" s="70"/>
      <c r="C46" s="70"/>
      <c r="D46" s="70"/>
      <c r="E46" s="70"/>
      <c r="F46" s="70"/>
      <c r="G46" s="70"/>
      <c r="H46" s="70" t="s">
        <v>36</v>
      </c>
      <c r="I46" s="71"/>
      <c r="J46" s="11"/>
      <c r="K46" s="11"/>
      <c r="L46" s="11"/>
      <c r="M46" s="11"/>
      <c r="N46" s="12"/>
      <c r="O46" s="10"/>
      <c r="P46" s="11"/>
      <c r="Q46" s="10"/>
      <c r="R46" s="11"/>
      <c r="S46" s="11"/>
      <c r="T46" s="10"/>
      <c r="U46" s="10"/>
      <c r="V46" s="22"/>
      <c r="W46" s="10"/>
      <c r="X46" s="10"/>
      <c r="Y46" s="10"/>
    </row>
    <row r="47" spans="1:25" ht="36.75" customHeight="1">
      <c r="A47" s="10"/>
      <c r="B47" s="70"/>
      <c r="C47" s="70"/>
      <c r="D47" s="70"/>
      <c r="E47" s="70"/>
      <c r="F47" s="70"/>
      <c r="G47" s="70"/>
      <c r="H47" s="70" t="s">
        <v>36</v>
      </c>
      <c r="I47" s="71"/>
      <c r="J47" s="11"/>
      <c r="K47" s="11"/>
      <c r="L47" s="11"/>
      <c r="M47" s="11"/>
      <c r="N47" s="12"/>
      <c r="O47" s="10"/>
      <c r="P47" s="11"/>
      <c r="Q47" s="10"/>
      <c r="R47" s="11"/>
      <c r="S47" s="11"/>
      <c r="T47" s="10"/>
      <c r="U47" s="10"/>
      <c r="V47" s="22"/>
      <c r="W47" s="10"/>
      <c r="X47" s="10"/>
      <c r="Y47" s="10"/>
    </row>
    <row r="48" spans="1:25" ht="36.75" customHeight="1">
      <c r="A48" s="10"/>
      <c r="B48" s="70"/>
      <c r="C48" s="70"/>
      <c r="D48" s="70"/>
      <c r="E48" s="70"/>
      <c r="F48" s="70"/>
      <c r="G48" s="70"/>
      <c r="H48" s="70" t="s">
        <v>36</v>
      </c>
      <c r="I48" s="71"/>
      <c r="J48" s="11"/>
      <c r="K48" s="11"/>
      <c r="L48" s="11"/>
      <c r="M48" s="11"/>
      <c r="N48" s="12"/>
      <c r="O48" s="10"/>
      <c r="P48" s="11"/>
      <c r="Q48" s="10"/>
      <c r="R48" s="11"/>
      <c r="S48" s="11"/>
      <c r="T48" s="10"/>
      <c r="U48" s="10"/>
      <c r="V48" s="22"/>
      <c r="W48" s="10"/>
      <c r="X48" s="10"/>
      <c r="Y48" s="10"/>
    </row>
    <row r="49" spans="1:25" ht="53.25" customHeight="1">
      <c r="A49" s="112" t="s">
        <v>7</v>
      </c>
      <c r="B49" s="112"/>
      <c r="C49" s="112"/>
      <c r="D49" s="112"/>
      <c r="E49" s="112"/>
      <c r="F49" s="112"/>
      <c r="G49" s="112"/>
      <c r="H49" s="112"/>
      <c r="I49" s="112"/>
      <c r="J49" s="14" t="s">
        <v>6</v>
      </c>
      <c r="K49" s="14" t="s">
        <v>6</v>
      </c>
      <c r="L49" s="14" t="s">
        <v>6</v>
      </c>
      <c r="M49" s="14" t="s">
        <v>6</v>
      </c>
      <c r="N49" s="13" t="s">
        <v>14</v>
      </c>
      <c r="O49" s="14" t="s">
        <v>5</v>
      </c>
      <c r="P49" s="14" t="s">
        <v>29</v>
      </c>
      <c r="Q49" s="14" t="s">
        <v>3</v>
      </c>
      <c r="R49" s="78" t="s">
        <v>28</v>
      </c>
      <c r="S49" s="79"/>
      <c r="T49" s="13" t="s">
        <v>20</v>
      </c>
      <c r="U49" s="16" t="s">
        <v>22</v>
      </c>
      <c r="V49" s="13" t="s">
        <v>27</v>
      </c>
      <c r="W49" s="14" t="s">
        <v>24</v>
      </c>
      <c r="X49" s="14" t="s">
        <v>4</v>
      </c>
      <c r="Y49" s="73"/>
    </row>
    <row r="50" spans="1:25" s="17" customFormat="1" ht="26.25" customHeight="1">
      <c r="A50" s="75" t="s">
        <v>8</v>
      </c>
      <c r="B50" s="75"/>
      <c r="C50" s="75"/>
      <c r="D50" s="75"/>
      <c r="E50" s="75"/>
      <c r="F50" s="75"/>
      <c r="G50" s="75"/>
      <c r="H50" s="75"/>
      <c r="I50" s="75"/>
      <c r="J50" s="15">
        <v>46392</v>
      </c>
      <c r="K50" s="15">
        <v>46392</v>
      </c>
      <c r="L50" s="15">
        <v>46392</v>
      </c>
      <c r="M50" s="15">
        <v>46392</v>
      </c>
      <c r="N50" s="7" t="s">
        <v>45</v>
      </c>
      <c r="O50" s="7" t="s">
        <v>45</v>
      </c>
      <c r="P50" s="15">
        <v>46392</v>
      </c>
      <c r="Q50" s="15">
        <v>46392</v>
      </c>
      <c r="R50" s="76">
        <v>46392</v>
      </c>
      <c r="S50" s="77"/>
      <c r="T50" s="7" t="s">
        <v>45</v>
      </c>
      <c r="U50" s="15">
        <v>46392</v>
      </c>
      <c r="V50" s="23">
        <v>46392</v>
      </c>
      <c r="W50" s="15">
        <v>46392</v>
      </c>
      <c r="X50" s="15">
        <v>46392</v>
      </c>
      <c r="Y50" s="74"/>
    </row>
    <row r="51" spans="1:25" ht="45" customHeight="1">
      <c r="A51" s="49" t="s">
        <v>23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1"/>
    </row>
    <row r="52" spans="1:25" s="19" customFormat="1" ht="18" customHeight="1">
      <c r="A52" s="18" t="s">
        <v>30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s="20" customFormat="1" ht="33.75" customHeight="1">
      <c r="A53" s="111" t="s">
        <v>60</v>
      </c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 t="s">
        <v>63</v>
      </c>
      <c r="V53" s="111"/>
      <c r="W53" s="111"/>
      <c r="X53" s="111"/>
      <c r="Y53" s="111"/>
    </row>
  </sheetData>
  <mergeCells count="147">
    <mergeCell ref="A53:T53"/>
    <mergeCell ref="U53:Y53"/>
    <mergeCell ref="A51:Y51"/>
    <mergeCell ref="A7:C7"/>
    <mergeCell ref="D7:H7"/>
    <mergeCell ref="A49:I49"/>
    <mergeCell ref="R49:S49"/>
    <mergeCell ref="Y49:Y50"/>
    <mergeCell ref="A50:I50"/>
    <mergeCell ref="R50:S50"/>
    <mergeCell ref="B47:D47"/>
    <mergeCell ref="E47:G47"/>
    <mergeCell ref="H47:I47"/>
    <mergeCell ref="B48:D48"/>
    <mergeCell ref="E48:G48"/>
    <mergeCell ref="H48:I48"/>
    <mergeCell ref="B45:D45"/>
    <mergeCell ref="E45:G45"/>
    <mergeCell ref="H45:I45"/>
    <mergeCell ref="B46:D46"/>
    <mergeCell ref="E46:G46"/>
    <mergeCell ref="H46:I46"/>
    <mergeCell ref="B43:D43"/>
    <mergeCell ref="E43:G43"/>
    <mergeCell ref="H43:I43"/>
    <mergeCell ref="B44:D44"/>
    <mergeCell ref="E44:G44"/>
    <mergeCell ref="H44:I44"/>
    <mergeCell ref="B41:D41"/>
    <mergeCell ref="E41:G41"/>
    <mergeCell ref="H41:I41"/>
    <mergeCell ref="B42:D42"/>
    <mergeCell ref="E42:G42"/>
    <mergeCell ref="H42:I42"/>
    <mergeCell ref="B39:D39"/>
    <mergeCell ref="E39:G39"/>
    <mergeCell ref="H39:I39"/>
    <mergeCell ref="B40:D40"/>
    <mergeCell ref="E40:G40"/>
    <mergeCell ref="H40:I40"/>
    <mergeCell ref="B37:D37"/>
    <mergeCell ref="E37:G37"/>
    <mergeCell ref="H37:I37"/>
    <mergeCell ref="B38:D38"/>
    <mergeCell ref="E38:G38"/>
    <mergeCell ref="H38:I38"/>
    <mergeCell ref="B35:D35"/>
    <mergeCell ref="E35:G35"/>
    <mergeCell ref="H35:I35"/>
    <mergeCell ref="B36:D36"/>
    <mergeCell ref="E36:G36"/>
    <mergeCell ref="H36:I36"/>
    <mergeCell ref="B33:D33"/>
    <mergeCell ref="E33:G33"/>
    <mergeCell ref="H33:I33"/>
    <mergeCell ref="B34:D34"/>
    <mergeCell ref="E34:G34"/>
    <mergeCell ref="H34:I34"/>
    <mergeCell ref="B31:D31"/>
    <mergeCell ref="E31:G31"/>
    <mergeCell ref="H31:I31"/>
    <mergeCell ref="B32:D32"/>
    <mergeCell ref="E32:G32"/>
    <mergeCell ref="H32:I32"/>
    <mergeCell ref="B29:D29"/>
    <mergeCell ref="E29:G29"/>
    <mergeCell ref="H29:I29"/>
    <mergeCell ref="B30:D30"/>
    <mergeCell ref="E30:G30"/>
    <mergeCell ref="H30:I30"/>
    <mergeCell ref="B27:D27"/>
    <mergeCell ref="E27:G27"/>
    <mergeCell ref="H27:I27"/>
    <mergeCell ref="B28:D28"/>
    <mergeCell ref="E28:G28"/>
    <mergeCell ref="H28:I28"/>
    <mergeCell ref="B25:D25"/>
    <mergeCell ref="E25:G25"/>
    <mergeCell ref="H25:I25"/>
    <mergeCell ref="B26:D26"/>
    <mergeCell ref="E26:G26"/>
    <mergeCell ref="H26:I26"/>
    <mergeCell ref="B23:D23"/>
    <mergeCell ref="E23:G23"/>
    <mergeCell ref="H23:I23"/>
    <mergeCell ref="B24:D24"/>
    <mergeCell ref="E24:G24"/>
    <mergeCell ref="H24:I24"/>
    <mergeCell ref="B21:D21"/>
    <mergeCell ref="E21:G21"/>
    <mergeCell ref="H21:I21"/>
    <mergeCell ref="B22:D22"/>
    <mergeCell ref="E22:G22"/>
    <mergeCell ref="H22:I22"/>
    <mergeCell ref="B19:D19"/>
    <mergeCell ref="E19:G19"/>
    <mergeCell ref="H19:I19"/>
    <mergeCell ref="B20:D20"/>
    <mergeCell ref="E20:G20"/>
    <mergeCell ref="H20:I20"/>
    <mergeCell ref="B17:D17"/>
    <mergeCell ref="E17:G17"/>
    <mergeCell ref="H17:I17"/>
    <mergeCell ref="B18:D18"/>
    <mergeCell ref="E18:G18"/>
    <mergeCell ref="H18:I18"/>
    <mergeCell ref="B15:D15"/>
    <mergeCell ref="E15:G15"/>
    <mergeCell ref="H15:I15"/>
    <mergeCell ref="B16:D16"/>
    <mergeCell ref="E16:G16"/>
    <mergeCell ref="H16:I16"/>
    <mergeCell ref="B14:D14"/>
    <mergeCell ref="E14:G14"/>
    <mergeCell ref="H14:I14"/>
    <mergeCell ref="R11:S11"/>
    <mergeCell ref="T11:T12"/>
    <mergeCell ref="U11:U12"/>
    <mergeCell ref="V11:V12"/>
    <mergeCell ref="W11:W12"/>
    <mergeCell ref="L11:L12"/>
    <mergeCell ref="M11:M12"/>
    <mergeCell ref="N11:N12"/>
    <mergeCell ref="O11:O12"/>
    <mergeCell ref="P11:P12"/>
    <mergeCell ref="Q11:Q12"/>
    <mergeCell ref="A1:Y2"/>
    <mergeCell ref="A3:U3"/>
    <mergeCell ref="V3:Y3"/>
    <mergeCell ref="A4:L4"/>
    <mergeCell ref="P4:Y7"/>
    <mergeCell ref="A5:L5"/>
    <mergeCell ref="A6:L6"/>
    <mergeCell ref="I7:L7"/>
    <mergeCell ref="A8:A13"/>
    <mergeCell ref="B8:I13"/>
    <mergeCell ref="J8:Y8"/>
    <mergeCell ref="J9:U9"/>
    <mergeCell ref="V9:X9"/>
    <mergeCell ref="Y9:Y13"/>
    <mergeCell ref="J10:M10"/>
    <mergeCell ref="O10:X10"/>
    <mergeCell ref="J11:J12"/>
    <mergeCell ref="K11:K12"/>
    <mergeCell ref="J13:M13"/>
    <mergeCell ref="N13:X13"/>
    <mergeCell ref="X11:X12"/>
  </mergeCells>
  <phoneticPr fontId="4" type="noConversion"/>
  <conditionalFormatting sqref="N14:Q48 T14:T48 V14:Y48">
    <cfRule type="containsText" dxfId="0" priority="2" operator="containsText" text="NG">
      <formula>NOT(ISERROR(SEARCH("NG",N14)))</formula>
    </cfRule>
  </conditionalFormatting>
  <dataValidations count="1">
    <dataValidation type="list" allowBlank="1" showInputMessage="1" showErrorMessage="1" sqref="V14:Y48 T14:T48 N14:Q48" xr:uid="{36925CD3-A663-4C90-B5A5-141736C4F49A}">
      <formula1>"OK,NG"</formula1>
    </dataValidation>
  </dataValidations>
  <printOptions horizontalCentered="1"/>
  <pageMargins left="0" right="0" top="0.59055118110236227" bottom="0" header="0" footer="0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갑지</vt:lpstr>
      <vt:lpstr>을지_1</vt:lpstr>
      <vt:lpstr>을지_2</vt:lpstr>
      <vt:lpstr>갑지!Print_Area</vt:lpstr>
      <vt:lpstr>을지_1!Print_Area</vt:lpstr>
      <vt:lpstr>을지_2!Print_Area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Jaiden</cp:lastModifiedBy>
  <cp:revision>21</cp:revision>
  <cp:lastPrinted>2026-09-24T16:11:51Z</cp:lastPrinted>
  <dcterms:created xsi:type="dcterms:W3CDTF">2026-08-29T08:40:09Z</dcterms:created>
  <dcterms:modified xsi:type="dcterms:W3CDTF">2026-09-24T18:00:18Z</dcterms:modified>
  <cp:version>1300.0100.01</cp:version>
</cp:coreProperties>
</file>